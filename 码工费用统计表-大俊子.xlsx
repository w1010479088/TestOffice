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/>
  <bookViews>
    <workbookView xWindow="0" yWindow="34" windowWidth="19440" windowHeight="11734"/>
  </bookViews>
  <sheets>
    <sheet name="原稿" sheetId="4" r:id="rId1"/>
  </sheets>
  <calcPr calcId="125725"/>
</workbook>
</file>

<file path=xl/calcChain.xml><?xml version="1.0" encoding="utf-8"?>
<calcChain xmlns="http://schemas.openxmlformats.org/spreadsheetml/2006/main">
  <c r="T208" i="4"/>
  <c r="U208"/>
  <c r="S100" l="1"/>
  <c r="V100" s="1"/>
  <c r="W100" s="1"/>
  <c r="S102"/>
  <c r="V102" s="1"/>
  <c r="W102" s="1"/>
  <c r="S104"/>
  <c r="V104" s="1"/>
  <c r="W104" s="1"/>
  <c r="S106"/>
  <c r="V106" s="1"/>
  <c r="W106" s="1"/>
  <c r="S108"/>
  <c r="V108"/>
  <c r="W108" s="1"/>
  <c r="S110"/>
  <c r="V110" s="1"/>
  <c r="W110" s="1"/>
  <c r="S112"/>
  <c r="V112"/>
  <c r="W112" s="1"/>
  <c r="S114"/>
  <c r="V114" s="1"/>
  <c r="W114" s="1"/>
  <c r="S116"/>
  <c r="V116" s="1"/>
  <c r="W116" s="1"/>
  <c r="S118"/>
  <c r="V118" s="1"/>
  <c r="W118" s="1"/>
  <c r="S120"/>
  <c r="V120" s="1"/>
  <c r="W120" s="1"/>
  <c r="S122"/>
  <c r="V122" s="1"/>
  <c r="W122" s="1"/>
  <c r="S124"/>
  <c r="V124"/>
  <c r="W124" s="1"/>
  <c r="S126"/>
  <c r="V126" s="1"/>
  <c r="W126" s="1"/>
  <c r="S128"/>
  <c r="V128"/>
  <c r="W128" s="1"/>
  <c r="S130"/>
  <c r="V130" s="1"/>
  <c r="W130" s="1"/>
  <c r="S132"/>
  <c r="V132" s="1"/>
  <c r="W132" s="1"/>
  <c r="S134"/>
  <c r="V134" s="1"/>
  <c r="W134" s="1"/>
  <c r="S136"/>
  <c r="V136" s="1"/>
  <c r="W136" s="1"/>
  <c r="S138"/>
  <c r="V138" s="1"/>
  <c r="W138" s="1"/>
  <c r="S140"/>
  <c r="V140"/>
  <c r="W140" s="1"/>
  <c r="S142"/>
  <c r="V142" s="1"/>
  <c r="W142" s="1"/>
  <c r="S144"/>
  <c r="V144"/>
  <c r="W144" s="1"/>
  <c r="S146"/>
  <c r="V146" s="1"/>
  <c r="W146" s="1"/>
  <c r="S148"/>
  <c r="V148" s="1"/>
  <c r="W148" s="1"/>
  <c r="S150"/>
  <c r="V150" s="1"/>
  <c r="W150" s="1"/>
  <c r="S152"/>
  <c r="V152" s="1"/>
  <c r="W152" s="1"/>
  <c r="S154"/>
  <c r="V154" s="1"/>
  <c r="W154" s="1"/>
  <c r="S156"/>
  <c r="V156"/>
  <c r="W156" s="1"/>
  <c r="S158"/>
  <c r="V158" s="1"/>
  <c r="W158" s="1"/>
  <c r="S160"/>
  <c r="V160"/>
  <c r="W160" s="1"/>
  <c r="S162"/>
  <c r="V162" s="1"/>
  <c r="W162" s="1"/>
  <c r="S164"/>
  <c r="V164" s="1"/>
  <c r="W164" s="1"/>
  <c r="S166"/>
  <c r="V166" s="1"/>
  <c r="W166" s="1"/>
  <c r="S168"/>
  <c r="V168" s="1"/>
  <c r="W168" s="1"/>
  <c r="S170"/>
  <c r="V170" s="1"/>
  <c r="W170" s="1"/>
  <c r="S172"/>
  <c r="V172"/>
  <c r="W172" s="1"/>
  <c r="S174"/>
  <c r="V174" s="1"/>
  <c r="W174" s="1"/>
  <c r="S176"/>
  <c r="V176" s="1"/>
  <c r="W176"/>
  <c r="S178"/>
  <c r="S180"/>
  <c r="V180" s="1"/>
  <c r="W180" s="1"/>
  <c r="S182"/>
  <c r="S184"/>
  <c r="V184" s="1"/>
  <c r="W184" s="1"/>
  <c r="S186"/>
  <c r="V186" s="1"/>
  <c r="W186" s="1"/>
  <c r="S188"/>
  <c r="V188"/>
  <c r="W188" s="1"/>
  <c r="S190"/>
  <c r="V190" s="1"/>
  <c r="W190" s="1"/>
  <c r="S192"/>
  <c r="V192"/>
  <c r="W192" s="1"/>
  <c r="S194"/>
  <c r="V194" s="1"/>
  <c r="W194" s="1"/>
  <c r="S196"/>
  <c r="V196" s="1"/>
  <c r="W196" s="1"/>
  <c r="S198"/>
  <c r="V198" s="1"/>
  <c r="W198" s="1"/>
  <c r="S200"/>
  <c r="V200" s="1"/>
  <c r="W200" s="1"/>
  <c r="S202"/>
  <c r="V202" s="1"/>
  <c r="W202" s="1"/>
  <c r="S204"/>
  <c r="V204"/>
  <c r="W204" s="1"/>
  <c r="S206"/>
  <c r="V206" s="1"/>
  <c r="W206" s="1"/>
  <c r="S24"/>
  <c r="V24" s="1"/>
  <c r="W24" s="1"/>
  <c r="S26"/>
  <c r="V26" s="1"/>
  <c r="W26" s="1"/>
  <c r="S28"/>
  <c r="V28" s="1"/>
  <c r="W28" s="1"/>
  <c r="S30"/>
  <c r="V30" s="1"/>
  <c r="W30" s="1"/>
  <c r="S32"/>
  <c r="V32" s="1"/>
  <c r="W32" s="1"/>
  <c r="S34"/>
  <c r="V34" s="1"/>
  <c r="W34" s="1"/>
  <c r="S36"/>
  <c r="V36" s="1"/>
  <c r="W36" s="1"/>
  <c r="S38"/>
  <c r="V38" s="1"/>
  <c r="W38" s="1"/>
  <c r="S40"/>
  <c r="V40" s="1"/>
  <c r="W40" s="1"/>
  <c r="S42"/>
  <c r="V42" s="1"/>
  <c r="W42" s="1"/>
  <c r="S44"/>
  <c r="V44" s="1"/>
  <c r="W44" s="1"/>
  <c r="S46"/>
  <c r="V46" s="1"/>
  <c r="W46" s="1"/>
  <c r="S48"/>
  <c r="V48" s="1"/>
  <c r="W48" s="1"/>
  <c r="S50"/>
  <c r="V50" s="1"/>
  <c r="W50" s="1"/>
  <c r="S52"/>
  <c r="V52" s="1"/>
  <c r="W52" s="1"/>
  <c r="S54"/>
  <c r="V54" s="1"/>
  <c r="W54" s="1"/>
  <c r="S56"/>
  <c r="V56" s="1"/>
  <c r="W56" s="1"/>
  <c r="S58"/>
  <c r="V58" s="1"/>
  <c r="W58" s="1"/>
  <c r="S60"/>
  <c r="V60" s="1"/>
  <c r="W60" s="1"/>
  <c r="S62"/>
  <c r="V62" s="1"/>
  <c r="W62" s="1"/>
  <c r="S64"/>
  <c r="V64" s="1"/>
  <c r="W64" s="1"/>
  <c r="S66"/>
  <c r="V66" s="1"/>
  <c r="W66" s="1"/>
  <c r="S68"/>
  <c r="V68" s="1"/>
  <c r="W68" s="1"/>
  <c r="S70"/>
  <c r="V70" s="1"/>
  <c r="W70" s="1"/>
  <c r="S72"/>
  <c r="V72" s="1"/>
  <c r="W72" s="1"/>
  <c r="S74"/>
  <c r="V74" s="1"/>
  <c r="W74" s="1"/>
  <c r="S76"/>
  <c r="V76" s="1"/>
  <c r="W76" s="1"/>
  <c r="S78"/>
  <c r="V78" s="1"/>
  <c r="W78" s="1"/>
  <c r="S80"/>
  <c r="V80" s="1"/>
  <c r="W80" s="1"/>
  <c r="S82"/>
  <c r="V82" s="1"/>
  <c r="W82" s="1"/>
  <c r="S84"/>
  <c r="V84" s="1"/>
  <c r="W84" s="1"/>
  <c r="S86"/>
  <c r="V86" s="1"/>
  <c r="W86" s="1"/>
  <c r="S88"/>
  <c r="V88" s="1"/>
  <c r="W88" s="1"/>
  <c r="S90"/>
  <c r="V90" s="1"/>
  <c r="W90" s="1"/>
  <c r="S92"/>
  <c r="V92" s="1"/>
  <c r="W92" s="1"/>
  <c r="S94"/>
  <c r="V94" s="1"/>
  <c r="W94" s="1"/>
  <c r="S96"/>
  <c r="V96" s="1"/>
  <c r="W96" s="1"/>
  <c r="S98"/>
  <c r="V98" s="1"/>
  <c r="W98" s="1"/>
  <c r="S16"/>
  <c r="V16" s="1"/>
  <c r="W16" s="1"/>
  <c r="S18"/>
  <c r="V18" s="1"/>
  <c r="W18" s="1"/>
  <c r="S20"/>
  <c r="V20" s="1"/>
  <c r="W20" s="1"/>
  <c r="S22"/>
  <c r="V22" s="1"/>
  <c r="W22" s="1"/>
  <c r="S8"/>
  <c r="S10"/>
  <c r="V10" s="1"/>
  <c r="W10" s="1"/>
  <c r="S12"/>
  <c r="V12" s="1"/>
  <c r="W12" s="1"/>
  <c r="S14"/>
  <c r="V14" s="1"/>
  <c r="W14" s="1"/>
  <c r="S6"/>
  <c r="V6" s="1"/>
  <c r="W178" l="1"/>
  <c r="V178"/>
  <c r="V182"/>
  <c r="W182" s="1"/>
  <c r="V8"/>
  <c r="W8" s="1"/>
  <c r="S208"/>
  <c r="V208" s="1"/>
  <c r="W208" s="1"/>
  <c r="W6"/>
</calcChain>
</file>

<file path=xl/sharedStrings.xml><?xml version="1.0" encoding="utf-8"?>
<sst xmlns="http://schemas.openxmlformats.org/spreadsheetml/2006/main" count="300" uniqueCount="99">
  <si>
    <t>验证码</t>
  </si>
  <si>
    <t>打码时间</t>
  </si>
  <si>
    <t>5933</t>
  </si>
  <si>
    <t>3.94</t>
  </si>
  <si>
    <t>9446</t>
  </si>
  <si>
    <t>3816</t>
  </si>
  <si>
    <t>4690</t>
  </si>
  <si>
    <t>6161</t>
  </si>
  <si>
    <t>2470</t>
  </si>
  <si>
    <t>2006</t>
  </si>
  <si>
    <t>9913</t>
  </si>
  <si>
    <t>8936</t>
  </si>
  <si>
    <t>2.38</t>
  </si>
  <si>
    <t>总码</t>
  </si>
  <si>
    <t>超时色</t>
    <phoneticPr fontId="2" type="noConversion"/>
  </si>
  <si>
    <t>错误色</t>
    <phoneticPr fontId="2" type="noConversion"/>
  </si>
  <si>
    <t>5.13</t>
    <phoneticPr fontId="2" type="noConversion"/>
  </si>
  <si>
    <t>NO</t>
    <phoneticPr fontId="2" type="noConversion"/>
  </si>
  <si>
    <t>验证码统计时间段：11:29:20~11:29：59</t>
    <phoneticPr fontId="2" type="noConversion"/>
  </si>
  <si>
    <t>例：ljq001</t>
    <phoneticPr fontId="2" type="noConversion"/>
  </si>
  <si>
    <t>统计</t>
    <phoneticPr fontId="2" type="noConversion"/>
  </si>
  <si>
    <t>超时个数
人工输入</t>
    <phoneticPr fontId="2" type="noConversion"/>
  </si>
  <si>
    <t>参与ID人数</t>
    <phoneticPr fontId="2" type="noConversion"/>
  </si>
  <si>
    <t>人</t>
    <phoneticPr fontId="2" type="noConversion"/>
  </si>
  <si>
    <t>费用</t>
    <phoneticPr fontId="2" type="noConversion"/>
  </si>
  <si>
    <t>元/人</t>
    <phoneticPr fontId="2" type="noConversion"/>
  </si>
  <si>
    <t>不合格码数</t>
    <phoneticPr fontId="2" type="noConversion"/>
  </si>
  <si>
    <t>个</t>
    <phoneticPr fontId="2" type="noConversion"/>
  </si>
  <si>
    <t>扣除不合格费用</t>
    <phoneticPr fontId="2" type="noConversion"/>
  </si>
  <si>
    <t xml:space="preserve">元 </t>
    <phoneticPr fontId="2" type="noConversion"/>
  </si>
  <si>
    <t>应支付费用</t>
    <phoneticPr fontId="2" type="noConversion"/>
  </si>
  <si>
    <t>元</t>
    <phoneticPr fontId="2" type="noConversion"/>
  </si>
  <si>
    <r>
      <t xml:space="preserve">码数合计
</t>
    </r>
    <r>
      <rPr>
        <b/>
        <sz val="12"/>
        <color rgb="FFFF0000"/>
        <rFont val="微软雅黑"/>
        <family val="2"/>
        <charset val="134"/>
      </rPr>
      <t>自动计算</t>
    </r>
    <phoneticPr fontId="2" type="noConversion"/>
  </si>
  <si>
    <r>
      <t xml:space="preserve">有效码数
</t>
    </r>
    <r>
      <rPr>
        <b/>
        <sz val="12"/>
        <color rgb="FFFF0000"/>
        <rFont val="微软雅黑"/>
        <family val="2"/>
        <charset val="134"/>
      </rPr>
      <t>自动计算</t>
    </r>
    <phoneticPr fontId="2" type="noConversion"/>
  </si>
  <si>
    <r>
      <t xml:space="preserve">合格率
</t>
    </r>
    <r>
      <rPr>
        <b/>
        <sz val="12"/>
        <color rgb="FFFF0000"/>
        <rFont val="微软雅黑"/>
        <family val="2"/>
        <charset val="134"/>
      </rPr>
      <t>自动计算</t>
    </r>
    <phoneticPr fontId="2" type="noConversion"/>
  </si>
  <si>
    <t>打码时间</t>
    <phoneticPr fontId="2" type="noConversion"/>
  </si>
  <si>
    <t>错误个数
人工输入</t>
    <phoneticPr fontId="2" type="noConversion"/>
  </si>
  <si>
    <t>码数[人工输入]</t>
    <phoneticPr fontId="2" type="noConversion"/>
  </si>
  <si>
    <t>用户名编号
[人工输入]</t>
    <phoneticPr fontId="2" type="noConversion"/>
  </si>
  <si>
    <t>i196</t>
    <phoneticPr fontId="2" type="noConversion"/>
  </si>
  <si>
    <t>i197</t>
    <phoneticPr fontId="2" type="noConversion"/>
  </si>
  <si>
    <t>i198</t>
    <phoneticPr fontId="2" type="noConversion"/>
  </si>
  <si>
    <t>i199</t>
    <phoneticPr fontId="2" type="noConversion"/>
  </si>
  <si>
    <t>8848</t>
    <phoneticPr fontId="2" type="noConversion"/>
  </si>
  <si>
    <t>3.99</t>
    <phoneticPr fontId="2" type="noConversion"/>
  </si>
  <si>
    <t>1264</t>
    <phoneticPr fontId="2" type="noConversion"/>
  </si>
  <si>
    <t>2.57</t>
    <phoneticPr fontId="2" type="noConversion"/>
  </si>
  <si>
    <t>1860</t>
    <phoneticPr fontId="2" type="noConversion"/>
  </si>
  <si>
    <t>3.44</t>
    <phoneticPr fontId="2" type="noConversion"/>
  </si>
  <si>
    <t>3465</t>
    <phoneticPr fontId="2" type="noConversion"/>
  </si>
  <si>
    <t>3.30</t>
    <phoneticPr fontId="2" type="noConversion"/>
  </si>
  <si>
    <t>1387</t>
    <phoneticPr fontId="2" type="noConversion"/>
  </si>
  <si>
    <t>2.03</t>
    <phoneticPr fontId="2" type="noConversion"/>
  </si>
  <si>
    <t>1854</t>
    <phoneticPr fontId="2" type="noConversion"/>
  </si>
  <si>
    <t>1.91</t>
    <phoneticPr fontId="2" type="noConversion"/>
  </si>
  <si>
    <t>6189</t>
    <phoneticPr fontId="2" type="noConversion"/>
  </si>
  <si>
    <t>1535</t>
    <phoneticPr fontId="2" type="noConversion"/>
  </si>
  <si>
    <t>2.16</t>
    <phoneticPr fontId="2" type="noConversion"/>
  </si>
  <si>
    <t>0577</t>
    <phoneticPr fontId="2" type="noConversion"/>
  </si>
  <si>
    <t>3.75</t>
    <phoneticPr fontId="2" type="noConversion"/>
  </si>
  <si>
    <t>1470</t>
    <phoneticPr fontId="2" type="noConversion"/>
  </si>
  <si>
    <t>2.92</t>
    <phoneticPr fontId="2" type="noConversion"/>
  </si>
  <si>
    <t>1540</t>
    <phoneticPr fontId="2" type="noConversion"/>
  </si>
  <si>
    <t>3.32</t>
    <phoneticPr fontId="2" type="noConversion"/>
  </si>
  <si>
    <t>6885</t>
    <phoneticPr fontId="2" type="noConversion"/>
  </si>
  <si>
    <t>5.39</t>
    <phoneticPr fontId="2" type="noConversion"/>
  </si>
  <si>
    <t>1792</t>
    <phoneticPr fontId="2" type="noConversion"/>
  </si>
  <si>
    <t>2.46</t>
    <phoneticPr fontId="2" type="noConversion"/>
  </si>
  <si>
    <t>7431</t>
    <phoneticPr fontId="2" type="noConversion"/>
  </si>
  <si>
    <t>3.80</t>
    <phoneticPr fontId="2" type="noConversion"/>
  </si>
  <si>
    <t>最后一个无法识别</t>
    <phoneticPr fontId="2" type="noConversion"/>
  </si>
  <si>
    <t>3761</t>
    <phoneticPr fontId="2" type="noConversion"/>
  </si>
  <si>
    <t>9.2</t>
    <phoneticPr fontId="2" type="noConversion"/>
  </si>
  <si>
    <t>1306</t>
    <phoneticPr fontId="2" type="noConversion"/>
  </si>
  <si>
    <t>2.82</t>
    <phoneticPr fontId="2" type="noConversion"/>
  </si>
  <si>
    <t>1626</t>
    <phoneticPr fontId="2" type="noConversion"/>
  </si>
  <si>
    <t>6.06</t>
    <phoneticPr fontId="2" type="noConversion"/>
  </si>
  <si>
    <t>1343</t>
    <phoneticPr fontId="2" type="noConversion"/>
  </si>
  <si>
    <t>3.45</t>
    <phoneticPr fontId="2" type="noConversion"/>
  </si>
  <si>
    <t>6518</t>
    <phoneticPr fontId="2" type="noConversion"/>
  </si>
  <si>
    <t>2.62</t>
    <phoneticPr fontId="2" type="noConversion"/>
  </si>
  <si>
    <t>1688</t>
    <phoneticPr fontId="2" type="noConversion"/>
  </si>
  <si>
    <t>2.70</t>
    <phoneticPr fontId="2" type="noConversion"/>
  </si>
  <si>
    <t>1214</t>
    <phoneticPr fontId="2" type="noConversion"/>
  </si>
  <si>
    <t>2.95</t>
    <phoneticPr fontId="2" type="noConversion"/>
  </si>
  <si>
    <t>1030</t>
    <phoneticPr fontId="2" type="noConversion"/>
  </si>
  <si>
    <t>2.38</t>
    <phoneticPr fontId="2" type="noConversion"/>
  </si>
  <si>
    <t>9309</t>
    <phoneticPr fontId="2" type="noConversion"/>
  </si>
  <si>
    <t>2.83</t>
    <phoneticPr fontId="2" type="noConversion"/>
  </si>
  <si>
    <t>3450</t>
    <phoneticPr fontId="2" type="noConversion"/>
  </si>
  <si>
    <t>2.90</t>
    <phoneticPr fontId="2" type="noConversion"/>
  </si>
  <si>
    <t>7626</t>
    <phoneticPr fontId="2" type="noConversion"/>
  </si>
  <si>
    <t>3.50</t>
    <phoneticPr fontId="2" type="noConversion"/>
  </si>
  <si>
    <t>3119</t>
    <phoneticPr fontId="2" type="noConversion"/>
  </si>
  <si>
    <t>2.25</t>
    <phoneticPr fontId="2" type="noConversion"/>
  </si>
  <si>
    <t>2831</t>
    <phoneticPr fontId="2" type="noConversion"/>
  </si>
  <si>
    <t>4.30</t>
    <phoneticPr fontId="2" type="noConversion"/>
  </si>
  <si>
    <r>
      <rPr>
        <b/>
        <u/>
        <sz val="22"/>
        <rFont val="微软雅黑"/>
        <family val="2"/>
        <charset val="134"/>
      </rPr>
      <t xml:space="preserve">   12   </t>
    </r>
    <r>
      <rPr>
        <b/>
        <sz val="22"/>
        <rFont val="微软雅黑"/>
        <family val="2"/>
        <charset val="134"/>
      </rPr>
      <t xml:space="preserve">月 </t>
    </r>
    <r>
      <rPr>
        <b/>
        <u/>
        <sz val="22"/>
        <rFont val="微软雅黑"/>
        <family val="2"/>
        <charset val="134"/>
      </rPr>
      <t xml:space="preserve">  19 </t>
    </r>
    <r>
      <rPr>
        <b/>
        <sz val="22"/>
        <rFont val="微软雅黑"/>
        <family val="2"/>
        <charset val="134"/>
      </rPr>
      <t>日</t>
    </r>
    <r>
      <rPr>
        <b/>
        <u/>
        <sz val="22"/>
        <rFont val="微软雅黑"/>
        <family val="2"/>
        <charset val="134"/>
      </rPr>
      <t xml:space="preserve">   在家 </t>
    </r>
    <r>
      <rPr>
        <b/>
        <sz val="22"/>
        <rFont val="微软雅黑"/>
        <family val="2"/>
        <charset val="134"/>
      </rPr>
      <t>场地码工数据统计</t>
    </r>
    <phoneticPr fontId="2" type="noConversion"/>
  </si>
  <si>
    <t>123</t>
    <phoneticPr fontId="2" type="noConversion"/>
  </si>
</sst>
</file>

<file path=xl/styles.xml><?xml version="1.0" encoding="utf-8"?>
<styleSheet xmlns="http://schemas.openxmlformats.org/spreadsheetml/2006/main">
  <fonts count="14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22"/>
      <name val="微软雅黑"/>
      <family val="2"/>
      <charset val="134"/>
    </font>
    <font>
      <sz val="22"/>
      <name val="微软雅黑"/>
      <family val="2"/>
      <charset val="134"/>
    </font>
    <font>
      <b/>
      <u/>
      <sz val="2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sz val="12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9" fontId="4" fillId="5" borderId="8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5" borderId="7" xfId="1" applyNumberFormat="1" applyFont="1" applyFill="1" applyBorder="1" applyAlignment="1">
      <alignment horizontal="center" vertical="center" wrapText="1"/>
    </xf>
    <xf numFmtId="9" fontId="3" fillId="5" borderId="7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4">
    <cellStyle name="百分比" xfId="1" builtinId="5"/>
    <cellStyle name="百分比 2" xfId="3"/>
    <cellStyle name="常规" xfId="0" builtinId="0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216"/>
  <sheetViews>
    <sheetView showGridLines="0" tabSelected="1" zoomScale="85" zoomScaleNormal="85" zoomScaleSheetLayoutView="100" workbookViewId="0">
      <pane ySplit="5" topLeftCell="A6" activePane="bottomLeft" state="frozen"/>
      <selection pane="bottomLeft" activeCell="I19" sqref="I19"/>
    </sheetView>
  </sheetViews>
  <sheetFormatPr defaultColWidth="9" defaultRowHeight="17.149999999999999"/>
  <cols>
    <col min="1" max="1" width="9" style="2"/>
    <col min="2" max="2" width="12.0703125" style="2" bestFit="1" customWidth="1"/>
    <col min="3" max="3" width="10" style="2" bestFit="1" customWidth="1"/>
    <col min="4" max="8" width="6.35546875" style="2" bestFit="1" customWidth="1"/>
    <col min="9" max="10" width="6.35546875" style="3" bestFit="1" customWidth="1"/>
    <col min="11" max="11" width="6.5" style="3" bestFit="1" customWidth="1"/>
    <col min="12" max="12" width="8.2109375" style="3" bestFit="1" customWidth="1"/>
    <col min="13" max="13" width="6.5" style="3" bestFit="1" customWidth="1"/>
    <col min="14" max="15" width="6.35546875" style="3" bestFit="1" customWidth="1"/>
    <col min="16" max="18" width="6.35546875" style="3" customWidth="1"/>
    <col min="19" max="19" width="11.0703125" style="4" bestFit="1" customWidth="1"/>
    <col min="20" max="21" width="10.35546875" style="5" customWidth="1"/>
    <col min="22" max="22" width="11.5703125" style="5" customWidth="1"/>
    <col min="23" max="23" width="10" style="3" bestFit="1" customWidth="1"/>
    <col min="24" max="16384" width="9" style="2"/>
  </cols>
  <sheetData>
    <row r="2" spans="1:24" s="9" customFormat="1" ht="31.3" thickBot="1">
      <c r="B2" s="8" t="s">
        <v>97</v>
      </c>
      <c r="I2" s="10"/>
      <c r="J2" s="10"/>
      <c r="K2" s="10"/>
      <c r="L2" s="1" t="s">
        <v>14</v>
      </c>
      <c r="M2" s="6"/>
      <c r="N2" s="12" t="s">
        <v>15</v>
      </c>
      <c r="O2" s="7"/>
      <c r="P2" s="10"/>
      <c r="Q2" s="68" t="s">
        <v>18</v>
      </c>
      <c r="R2" s="68"/>
      <c r="S2" s="68"/>
      <c r="T2" s="68"/>
      <c r="U2" s="68"/>
      <c r="V2" s="11"/>
      <c r="W2" s="10"/>
    </row>
    <row r="3" spans="1:24" s="9" customFormat="1" ht="1.5" customHeight="1" thickBot="1">
      <c r="B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71" t="s">
        <v>20</v>
      </c>
      <c r="T3" s="72"/>
      <c r="U3" s="72"/>
      <c r="V3" s="72"/>
      <c r="W3" s="73"/>
    </row>
    <row r="4" spans="1:24">
      <c r="A4" s="57" t="s">
        <v>17</v>
      </c>
      <c r="B4" s="59" t="s">
        <v>38</v>
      </c>
      <c r="C4" s="60"/>
      <c r="D4" s="55" t="s">
        <v>37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  <c r="S4" s="74"/>
      <c r="T4" s="75"/>
      <c r="U4" s="75"/>
      <c r="V4" s="75"/>
      <c r="W4" s="76"/>
    </row>
    <row r="5" spans="1:24" ht="36.75" customHeight="1">
      <c r="A5" s="46"/>
      <c r="B5" s="52"/>
      <c r="C5" s="52"/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37">
        <v>15</v>
      </c>
      <c r="S5" s="40" t="s">
        <v>32</v>
      </c>
      <c r="T5" s="31" t="s">
        <v>36</v>
      </c>
      <c r="U5" s="31" t="s">
        <v>21</v>
      </c>
      <c r="V5" s="30" t="s">
        <v>33</v>
      </c>
      <c r="W5" s="36" t="s">
        <v>34</v>
      </c>
    </row>
    <row r="6" spans="1:24" ht="17.25" customHeight="1">
      <c r="A6" s="46"/>
      <c r="B6" s="52" t="s">
        <v>19</v>
      </c>
      <c r="C6" s="17" t="s">
        <v>0</v>
      </c>
      <c r="D6" s="18">
        <v>8759</v>
      </c>
      <c r="E6" s="19" t="s">
        <v>4</v>
      </c>
      <c r="F6" s="19" t="s">
        <v>5</v>
      </c>
      <c r="G6" s="19" t="s">
        <v>6</v>
      </c>
      <c r="H6" s="19" t="s">
        <v>7</v>
      </c>
      <c r="I6" s="19">
        <v>6908</v>
      </c>
      <c r="J6" s="19" t="s">
        <v>8</v>
      </c>
      <c r="K6" s="19" t="s">
        <v>9</v>
      </c>
      <c r="L6" s="19" t="s">
        <v>10</v>
      </c>
      <c r="M6" s="19" t="s">
        <v>11</v>
      </c>
      <c r="N6" s="14" t="s">
        <v>2</v>
      </c>
      <c r="O6" s="19">
        <v>2069</v>
      </c>
      <c r="P6" s="13"/>
      <c r="Q6" s="13"/>
      <c r="R6" s="37"/>
      <c r="S6" s="51">
        <f>COUNTA(D6:R6)</f>
        <v>12</v>
      </c>
      <c r="T6" s="49">
        <v>1</v>
      </c>
      <c r="U6" s="49">
        <v>1</v>
      </c>
      <c r="V6" s="50">
        <f>S6-T6-U6</f>
        <v>10</v>
      </c>
      <c r="W6" s="47">
        <f>V6/S6</f>
        <v>0.83333333333333337</v>
      </c>
    </row>
    <row r="7" spans="1:24" ht="17.25" customHeight="1">
      <c r="A7" s="46"/>
      <c r="B7" s="52"/>
      <c r="C7" s="17" t="s">
        <v>35</v>
      </c>
      <c r="D7" s="17">
        <v>3.05</v>
      </c>
      <c r="E7" s="17">
        <v>2.2599999999999998</v>
      </c>
      <c r="F7" s="17">
        <v>2.04</v>
      </c>
      <c r="G7" s="17">
        <v>2.4</v>
      </c>
      <c r="H7" s="17">
        <v>2.23</v>
      </c>
      <c r="I7" s="20">
        <v>2.12</v>
      </c>
      <c r="J7" s="20">
        <v>2.56</v>
      </c>
      <c r="K7" s="20">
        <v>1.4</v>
      </c>
      <c r="L7" s="20">
        <v>1.35</v>
      </c>
      <c r="M7" s="20" t="s">
        <v>12</v>
      </c>
      <c r="N7" s="17" t="s">
        <v>3</v>
      </c>
      <c r="O7" s="21" t="s">
        <v>16</v>
      </c>
      <c r="P7" s="13"/>
      <c r="Q7" s="13"/>
      <c r="R7" s="37"/>
      <c r="S7" s="51"/>
      <c r="T7" s="49"/>
      <c r="U7" s="49"/>
      <c r="V7" s="50"/>
      <c r="W7" s="48"/>
    </row>
    <row r="8" spans="1:24" ht="17.25" customHeight="1">
      <c r="A8" s="46">
        <v>1</v>
      </c>
      <c r="B8" s="53" t="s">
        <v>39</v>
      </c>
      <c r="C8" s="29" t="s">
        <v>0</v>
      </c>
      <c r="D8" s="19" t="s">
        <v>71</v>
      </c>
      <c r="E8" s="19" t="s">
        <v>73</v>
      </c>
      <c r="F8" s="19" t="s">
        <v>75</v>
      </c>
      <c r="G8" s="19" t="s">
        <v>77</v>
      </c>
      <c r="H8" s="14" t="s">
        <v>79</v>
      </c>
      <c r="I8" s="19" t="s">
        <v>81</v>
      </c>
      <c r="J8" s="19"/>
      <c r="K8" s="19"/>
      <c r="L8" s="19"/>
      <c r="M8" s="19"/>
      <c r="N8" s="19"/>
      <c r="O8" s="19"/>
      <c r="P8" s="19"/>
      <c r="Q8" s="19"/>
      <c r="R8" s="38"/>
      <c r="S8" s="51">
        <f t="shared" ref="S8" si="0">COUNTA(D8:R8)</f>
        <v>6</v>
      </c>
      <c r="T8" s="54">
        <v>1</v>
      </c>
      <c r="U8" s="49">
        <v>2</v>
      </c>
      <c r="V8" s="50">
        <f t="shared" ref="V8" si="1">S8-T8-U8</f>
        <v>3</v>
      </c>
      <c r="W8" s="47">
        <f t="shared" ref="W8" si="2">V8/S8</f>
        <v>0.5</v>
      </c>
    </row>
    <row r="9" spans="1:24" ht="17.25" customHeight="1">
      <c r="A9" s="46"/>
      <c r="B9" s="53"/>
      <c r="C9" s="29" t="s">
        <v>1</v>
      </c>
      <c r="D9" s="21" t="s">
        <v>72</v>
      </c>
      <c r="E9" s="44" t="s">
        <v>74</v>
      </c>
      <c r="F9" s="21" t="s">
        <v>76</v>
      </c>
      <c r="G9" s="44" t="s">
        <v>78</v>
      </c>
      <c r="H9" s="44" t="s">
        <v>80</v>
      </c>
      <c r="I9" s="44" t="s">
        <v>82</v>
      </c>
      <c r="J9" s="28"/>
      <c r="K9" s="28"/>
      <c r="L9" s="28"/>
      <c r="M9" s="28"/>
      <c r="N9" s="28"/>
      <c r="O9" s="28"/>
      <c r="P9" s="28"/>
      <c r="Q9" s="28"/>
      <c r="R9" s="39"/>
      <c r="S9" s="51"/>
      <c r="T9" s="54"/>
      <c r="U9" s="49"/>
      <c r="V9" s="50"/>
      <c r="W9" s="48"/>
    </row>
    <row r="10" spans="1:24" ht="17.25" customHeight="1">
      <c r="A10" s="46">
        <v>2</v>
      </c>
      <c r="B10" s="53" t="s">
        <v>40</v>
      </c>
      <c r="C10" s="29" t="s">
        <v>0</v>
      </c>
      <c r="D10" s="19" t="s">
        <v>58</v>
      </c>
      <c r="E10" s="19" t="s">
        <v>60</v>
      </c>
      <c r="F10" s="19" t="s">
        <v>62</v>
      </c>
      <c r="G10" s="19" t="s">
        <v>64</v>
      </c>
      <c r="H10" s="19" t="s">
        <v>66</v>
      </c>
      <c r="I10" s="19" t="s">
        <v>68</v>
      </c>
      <c r="J10" s="19"/>
      <c r="K10" s="19"/>
      <c r="L10" s="19"/>
      <c r="M10" s="19"/>
      <c r="N10" s="19"/>
      <c r="O10" s="19"/>
      <c r="P10" s="19"/>
      <c r="Q10" s="19"/>
      <c r="R10" s="38"/>
      <c r="S10" s="51">
        <f t="shared" ref="S10" si="3">COUNTA(D10:R10)</f>
        <v>6</v>
      </c>
      <c r="T10" s="54">
        <v>0</v>
      </c>
      <c r="U10" s="49">
        <v>1</v>
      </c>
      <c r="V10" s="50">
        <f t="shared" ref="V10" si="4">S10-T10-U10</f>
        <v>5</v>
      </c>
      <c r="W10" s="47">
        <f t="shared" ref="W10" si="5">V10/S10</f>
        <v>0.83333333333333337</v>
      </c>
      <c r="X10" s="70" t="s">
        <v>70</v>
      </c>
    </row>
    <row r="11" spans="1:24" ht="17.25" customHeight="1">
      <c r="A11" s="46"/>
      <c r="B11" s="53"/>
      <c r="C11" s="29" t="s">
        <v>1</v>
      </c>
      <c r="D11" s="44" t="s">
        <v>59</v>
      </c>
      <c r="E11" s="44" t="s">
        <v>61</v>
      </c>
      <c r="F11" s="45" t="s">
        <v>63</v>
      </c>
      <c r="G11" s="21" t="s">
        <v>65</v>
      </c>
      <c r="H11" s="44" t="s">
        <v>67</v>
      </c>
      <c r="I11" s="45" t="s">
        <v>69</v>
      </c>
      <c r="J11" s="28"/>
      <c r="K11" s="28"/>
      <c r="L11" s="28"/>
      <c r="M11" s="28"/>
      <c r="N11" s="28"/>
      <c r="O11" s="28"/>
      <c r="P11" s="28"/>
      <c r="Q11" s="28"/>
      <c r="R11" s="39"/>
      <c r="S11" s="51"/>
      <c r="T11" s="54"/>
      <c r="U11" s="49"/>
      <c r="V11" s="50"/>
      <c r="W11" s="48"/>
      <c r="X11" s="70"/>
    </row>
    <row r="12" spans="1:24" ht="17.25" customHeight="1">
      <c r="A12" s="46">
        <v>3</v>
      </c>
      <c r="B12" s="53" t="s">
        <v>41</v>
      </c>
      <c r="C12" s="29" t="s">
        <v>0</v>
      </c>
      <c r="D12" s="19" t="s">
        <v>83</v>
      </c>
      <c r="E12" s="19" t="s">
        <v>85</v>
      </c>
      <c r="F12" s="19" t="s">
        <v>87</v>
      </c>
      <c r="G12" s="19" t="s">
        <v>89</v>
      </c>
      <c r="H12" s="19" t="s">
        <v>91</v>
      </c>
      <c r="I12" s="19" t="s">
        <v>93</v>
      </c>
      <c r="J12" s="19" t="s">
        <v>95</v>
      </c>
      <c r="K12" s="19"/>
      <c r="L12" s="19"/>
      <c r="M12" s="19"/>
      <c r="N12" s="19"/>
      <c r="O12" s="19"/>
      <c r="P12" s="19"/>
      <c r="Q12" s="19"/>
      <c r="R12" s="38"/>
      <c r="S12" s="51">
        <f t="shared" ref="S12" si="6">COUNTA(D12:R12)</f>
        <v>7</v>
      </c>
      <c r="T12" s="49">
        <v>0</v>
      </c>
      <c r="U12" s="49">
        <v>0</v>
      </c>
      <c r="V12" s="50">
        <f t="shared" ref="V12" si="7">S12-T12-U12</f>
        <v>7</v>
      </c>
      <c r="W12" s="47">
        <f t="shared" ref="W12" si="8">V12/S12</f>
        <v>1</v>
      </c>
      <c r="X12" s="70" t="s">
        <v>70</v>
      </c>
    </row>
    <row r="13" spans="1:24" ht="17.25" customHeight="1">
      <c r="A13" s="46"/>
      <c r="B13" s="53"/>
      <c r="C13" s="29" t="s">
        <v>1</v>
      </c>
      <c r="D13" s="44" t="s">
        <v>84</v>
      </c>
      <c r="E13" s="44" t="s">
        <v>86</v>
      </c>
      <c r="F13" s="44" t="s">
        <v>88</v>
      </c>
      <c r="G13" s="44" t="s">
        <v>90</v>
      </c>
      <c r="H13" s="44" t="s">
        <v>92</v>
      </c>
      <c r="I13" s="45" t="s">
        <v>94</v>
      </c>
      <c r="J13" s="45" t="s">
        <v>96</v>
      </c>
      <c r="K13" s="28"/>
      <c r="L13" s="28"/>
      <c r="M13" s="28"/>
      <c r="N13" s="28"/>
      <c r="O13" s="28"/>
      <c r="P13" s="28"/>
      <c r="Q13" s="28"/>
      <c r="R13" s="39"/>
      <c r="S13" s="51"/>
      <c r="T13" s="49"/>
      <c r="U13" s="49"/>
      <c r="V13" s="50"/>
      <c r="W13" s="48"/>
      <c r="X13" s="70"/>
    </row>
    <row r="14" spans="1:24" ht="17.25" customHeight="1">
      <c r="A14" s="46">
        <v>4</v>
      </c>
      <c r="B14" s="53" t="s">
        <v>42</v>
      </c>
      <c r="C14" s="29" t="s">
        <v>0</v>
      </c>
      <c r="D14" s="19" t="s">
        <v>43</v>
      </c>
      <c r="E14" s="19" t="s">
        <v>45</v>
      </c>
      <c r="F14" s="19" t="s">
        <v>47</v>
      </c>
      <c r="G14" s="19" t="s">
        <v>49</v>
      </c>
      <c r="H14" s="19" t="s">
        <v>51</v>
      </c>
      <c r="I14" s="19" t="s">
        <v>53</v>
      </c>
      <c r="J14" s="19" t="s">
        <v>55</v>
      </c>
      <c r="K14" s="19" t="s">
        <v>56</v>
      </c>
      <c r="L14" s="19"/>
      <c r="M14" s="19"/>
      <c r="N14" s="19"/>
      <c r="O14" s="19"/>
      <c r="P14" s="19"/>
      <c r="Q14" s="19"/>
      <c r="R14" s="38"/>
      <c r="S14" s="51">
        <f t="shared" ref="S14" si="9">COUNTA(D14:R14)</f>
        <v>8</v>
      </c>
      <c r="T14" s="54">
        <v>0</v>
      </c>
      <c r="U14" s="49">
        <v>0</v>
      </c>
      <c r="V14" s="50">
        <f t="shared" ref="V14" si="10">S14-T14-U14</f>
        <v>8</v>
      </c>
      <c r="W14" s="47">
        <f t="shared" ref="W14" si="11">V14/S14</f>
        <v>1</v>
      </c>
    </row>
    <row r="15" spans="1:24" ht="17.25" customHeight="1">
      <c r="A15" s="46"/>
      <c r="B15" s="53"/>
      <c r="C15" s="29" t="s">
        <v>1</v>
      </c>
      <c r="D15" s="42" t="s">
        <v>44</v>
      </c>
      <c r="E15" s="42" t="s">
        <v>46</v>
      </c>
      <c r="F15" s="42" t="s">
        <v>48</v>
      </c>
      <c r="G15" s="42" t="s">
        <v>50</v>
      </c>
      <c r="H15" s="42" t="s">
        <v>52</v>
      </c>
      <c r="I15" s="43" t="s">
        <v>54</v>
      </c>
      <c r="J15" s="43" t="s">
        <v>54</v>
      </c>
      <c r="K15" s="43" t="s">
        <v>57</v>
      </c>
      <c r="L15" s="28"/>
      <c r="M15" s="28"/>
      <c r="N15" s="28"/>
      <c r="O15" s="28"/>
      <c r="P15" s="28"/>
      <c r="Q15" s="28"/>
      <c r="R15" s="39"/>
      <c r="S15" s="51"/>
      <c r="T15" s="54"/>
      <c r="U15" s="49"/>
      <c r="V15" s="50"/>
      <c r="W15" s="48"/>
    </row>
    <row r="16" spans="1:24" ht="17.25" customHeight="1">
      <c r="A16" s="46">
        <v>5</v>
      </c>
      <c r="B16" s="53"/>
      <c r="C16" s="29" t="s"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38"/>
      <c r="S16" s="51">
        <f>COUNTA(D16:R16)</f>
        <v>0</v>
      </c>
      <c r="T16" s="49"/>
      <c r="U16" s="49"/>
      <c r="V16" s="50">
        <f t="shared" ref="V16" si="12">S16-T16-U16</f>
        <v>0</v>
      </c>
      <c r="W16" s="47" t="e">
        <f t="shared" ref="W16" si="13">V16/S16</f>
        <v>#DIV/0!</v>
      </c>
    </row>
    <row r="17" spans="1:23" ht="17.25" customHeight="1">
      <c r="A17" s="46"/>
      <c r="B17" s="53"/>
      <c r="C17" s="29" t="s">
        <v>1</v>
      </c>
      <c r="D17" s="29"/>
      <c r="E17" s="29"/>
      <c r="F17" s="29"/>
      <c r="G17" s="29"/>
      <c r="H17" s="29"/>
      <c r="I17" s="29"/>
      <c r="J17" s="28"/>
      <c r="K17" s="28"/>
      <c r="L17" s="28"/>
      <c r="M17" s="28"/>
      <c r="N17" s="28"/>
      <c r="O17" s="28"/>
      <c r="P17" s="28"/>
      <c r="Q17" s="28"/>
      <c r="R17" s="39"/>
      <c r="S17" s="51"/>
      <c r="T17" s="49"/>
      <c r="U17" s="49"/>
      <c r="V17" s="50"/>
      <c r="W17" s="48"/>
    </row>
    <row r="18" spans="1:23" ht="17.25" customHeight="1">
      <c r="A18" s="46">
        <v>6</v>
      </c>
      <c r="B18" s="58"/>
      <c r="C18" s="29" t="s">
        <v>0</v>
      </c>
      <c r="D18" s="18"/>
      <c r="E18" s="19" t="s">
        <v>98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38"/>
      <c r="S18" s="51">
        <f t="shared" ref="S18" si="14">COUNTA(D18:R18)</f>
        <v>1</v>
      </c>
      <c r="T18" s="49"/>
      <c r="U18" s="49"/>
      <c r="V18" s="50">
        <f t="shared" ref="V18" si="15">S18-T18-U18</f>
        <v>1</v>
      </c>
      <c r="W18" s="47">
        <f t="shared" ref="W18" si="16">V18/S18</f>
        <v>1</v>
      </c>
    </row>
    <row r="19" spans="1:23" ht="17.25" customHeight="1">
      <c r="A19" s="46"/>
      <c r="B19" s="58"/>
      <c r="C19" s="29" t="s">
        <v>1</v>
      </c>
      <c r="D19" s="29"/>
      <c r="E19" s="29"/>
      <c r="F19" s="29"/>
      <c r="G19" s="29"/>
      <c r="H19" s="29"/>
      <c r="I19" s="28"/>
      <c r="J19" s="28"/>
      <c r="K19" s="28"/>
      <c r="L19" s="28"/>
      <c r="M19" s="28"/>
      <c r="N19" s="28"/>
      <c r="O19" s="28"/>
      <c r="P19" s="28"/>
      <c r="Q19" s="28"/>
      <c r="R19" s="39"/>
      <c r="S19" s="51"/>
      <c r="T19" s="49"/>
      <c r="U19" s="49"/>
      <c r="V19" s="50"/>
      <c r="W19" s="48"/>
    </row>
    <row r="20" spans="1:23" ht="17.25" customHeight="1">
      <c r="A20" s="46">
        <v>7</v>
      </c>
      <c r="B20" s="61"/>
      <c r="C20" s="29" t="s"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38"/>
      <c r="S20" s="51">
        <f t="shared" ref="S20" si="17">COUNTA(D20:R20)</f>
        <v>0</v>
      </c>
      <c r="T20" s="49"/>
      <c r="U20" s="49"/>
      <c r="V20" s="50">
        <f t="shared" ref="V20" si="18">S20-T20-U20</f>
        <v>0</v>
      </c>
      <c r="W20" s="47" t="e">
        <f t="shared" ref="W20" si="19">V20/S20</f>
        <v>#DIV/0!</v>
      </c>
    </row>
    <row r="21" spans="1:23" ht="17.25" customHeight="1">
      <c r="A21" s="46"/>
      <c r="B21" s="61"/>
      <c r="C21" s="29" t="s">
        <v>1</v>
      </c>
      <c r="D21" s="29"/>
      <c r="E21" s="29"/>
      <c r="F21" s="29"/>
      <c r="G21" s="29"/>
      <c r="H21" s="29"/>
      <c r="I21" s="28"/>
      <c r="J21" s="28"/>
      <c r="K21" s="28"/>
      <c r="L21" s="28"/>
      <c r="M21" s="28"/>
      <c r="N21" s="28"/>
      <c r="O21" s="28"/>
      <c r="P21" s="28"/>
      <c r="Q21" s="28"/>
      <c r="R21" s="39"/>
      <c r="S21" s="51"/>
      <c r="T21" s="49"/>
      <c r="U21" s="49"/>
      <c r="V21" s="50"/>
      <c r="W21" s="48"/>
    </row>
    <row r="22" spans="1:23" ht="17.25" customHeight="1">
      <c r="A22" s="46">
        <v>8</v>
      </c>
      <c r="B22" s="53"/>
      <c r="C22" s="29" t="s">
        <v>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38"/>
      <c r="S22" s="51">
        <f t="shared" ref="S22" si="20">COUNTA(D22:R22)</f>
        <v>0</v>
      </c>
      <c r="T22" s="49"/>
      <c r="U22" s="49"/>
      <c r="V22" s="50">
        <f t="shared" ref="V22" si="21">S22-T22-U22</f>
        <v>0</v>
      </c>
      <c r="W22" s="47" t="e">
        <f t="shared" ref="W22" si="22">V22/S22</f>
        <v>#DIV/0!</v>
      </c>
    </row>
    <row r="23" spans="1:23" ht="17.25" customHeight="1">
      <c r="A23" s="46"/>
      <c r="B23" s="53"/>
      <c r="C23" s="29" t="s">
        <v>1</v>
      </c>
      <c r="D23" s="29"/>
      <c r="E23" s="29"/>
      <c r="F23" s="29"/>
      <c r="G23" s="29"/>
      <c r="H23" s="29"/>
      <c r="I23" s="28"/>
      <c r="J23" s="28"/>
      <c r="K23" s="28"/>
      <c r="L23" s="28"/>
      <c r="M23" s="28"/>
      <c r="N23" s="28"/>
      <c r="O23" s="28"/>
      <c r="P23" s="28"/>
      <c r="Q23" s="28"/>
      <c r="R23" s="39"/>
      <c r="S23" s="51"/>
      <c r="T23" s="49"/>
      <c r="U23" s="49"/>
      <c r="V23" s="50"/>
      <c r="W23" s="48"/>
    </row>
    <row r="24" spans="1:23" ht="17.25" customHeight="1">
      <c r="A24" s="46">
        <v>9</v>
      </c>
      <c r="B24" s="53"/>
      <c r="C24" s="29" t="s">
        <v>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38"/>
      <c r="S24" s="51">
        <f t="shared" ref="S24" si="23">COUNTA(D24:R24)</f>
        <v>0</v>
      </c>
      <c r="T24" s="49"/>
      <c r="U24" s="54"/>
      <c r="V24" s="50">
        <f t="shared" ref="V24" si="24">S24-T24-U24</f>
        <v>0</v>
      </c>
      <c r="W24" s="47" t="e">
        <f t="shared" ref="W24" si="25">V24/S24</f>
        <v>#DIV/0!</v>
      </c>
    </row>
    <row r="25" spans="1:23" ht="17.25" customHeight="1">
      <c r="A25" s="46"/>
      <c r="B25" s="53"/>
      <c r="C25" s="29" t="s">
        <v>1</v>
      </c>
      <c r="D25" s="29"/>
      <c r="E25" s="29"/>
      <c r="F25" s="29"/>
      <c r="G25" s="29"/>
      <c r="H25" s="29"/>
      <c r="I25" s="28"/>
      <c r="J25" s="28"/>
      <c r="K25" s="28"/>
      <c r="L25" s="28"/>
      <c r="M25" s="28"/>
      <c r="N25" s="28"/>
      <c r="O25" s="28"/>
      <c r="P25" s="28"/>
      <c r="Q25" s="28"/>
      <c r="R25" s="39"/>
      <c r="S25" s="51"/>
      <c r="T25" s="49"/>
      <c r="U25" s="54"/>
      <c r="V25" s="50"/>
      <c r="W25" s="48"/>
    </row>
    <row r="26" spans="1:23" ht="17.25" customHeight="1">
      <c r="A26" s="46">
        <v>10</v>
      </c>
      <c r="B26" s="53"/>
      <c r="C26" s="29" t="s">
        <v>0</v>
      </c>
      <c r="D26" s="15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38"/>
      <c r="S26" s="51">
        <f t="shared" ref="S26:S80" si="26">COUNTA(D26:R26)</f>
        <v>0</v>
      </c>
      <c r="T26" s="49"/>
      <c r="U26" s="54"/>
      <c r="V26" s="50">
        <f t="shared" ref="V26" si="27">S26-T26-U26</f>
        <v>0</v>
      </c>
      <c r="W26" s="47" t="e">
        <f t="shared" ref="W26" si="28">V26/S26</f>
        <v>#DIV/0!</v>
      </c>
    </row>
    <row r="27" spans="1:23" ht="17.25" customHeight="1">
      <c r="A27" s="46"/>
      <c r="B27" s="53"/>
      <c r="C27" s="29" t="s">
        <v>1</v>
      </c>
      <c r="D27" s="29"/>
      <c r="E27" s="29"/>
      <c r="F27" s="29"/>
      <c r="G27" s="29"/>
      <c r="H27" s="29"/>
      <c r="I27" s="28"/>
      <c r="J27" s="28"/>
      <c r="K27" s="28"/>
      <c r="L27" s="28"/>
      <c r="M27" s="28"/>
      <c r="N27" s="28"/>
      <c r="O27" s="28"/>
      <c r="P27" s="28"/>
      <c r="Q27" s="28"/>
      <c r="R27" s="39"/>
      <c r="S27" s="51"/>
      <c r="T27" s="49"/>
      <c r="U27" s="54"/>
      <c r="V27" s="50"/>
      <c r="W27" s="48"/>
    </row>
    <row r="28" spans="1:23" ht="17.25" customHeight="1">
      <c r="A28" s="46">
        <v>11</v>
      </c>
      <c r="B28" s="53"/>
      <c r="C28" s="29" t="s">
        <v>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38"/>
      <c r="S28" s="51">
        <f t="shared" ref="S28:S82" si="29">COUNTA(D28:R28)</f>
        <v>0</v>
      </c>
      <c r="T28" s="49"/>
      <c r="U28" s="49"/>
      <c r="V28" s="50">
        <f t="shared" ref="V28" si="30">S28-T28-U28</f>
        <v>0</v>
      </c>
      <c r="W28" s="47" t="e">
        <f t="shared" ref="W28" si="31">V28/S28</f>
        <v>#DIV/0!</v>
      </c>
    </row>
    <row r="29" spans="1:23" ht="17.25" customHeight="1">
      <c r="A29" s="46"/>
      <c r="B29" s="53"/>
      <c r="C29" s="29" t="s">
        <v>1</v>
      </c>
      <c r="D29" s="29"/>
      <c r="E29" s="29"/>
      <c r="F29" s="29"/>
      <c r="G29" s="29"/>
      <c r="H29" s="29"/>
      <c r="I29" s="28"/>
      <c r="J29" s="28"/>
      <c r="K29" s="28"/>
      <c r="L29" s="28"/>
      <c r="M29" s="28"/>
      <c r="N29" s="28"/>
      <c r="O29" s="28"/>
      <c r="P29" s="28"/>
      <c r="Q29" s="28"/>
      <c r="R29" s="39"/>
      <c r="S29" s="51"/>
      <c r="T29" s="49"/>
      <c r="U29" s="49"/>
      <c r="V29" s="50"/>
      <c r="W29" s="48"/>
    </row>
    <row r="30" spans="1:23" ht="17.25" customHeight="1">
      <c r="A30" s="46">
        <v>12</v>
      </c>
      <c r="B30" s="53"/>
      <c r="C30" s="29" t="s">
        <v>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38"/>
      <c r="S30" s="51">
        <f t="shared" ref="S30:S84" si="32">COUNTA(D30:R30)</f>
        <v>0</v>
      </c>
      <c r="T30" s="49"/>
      <c r="U30" s="49"/>
      <c r="V30" s="50">
        <f t="shared" ref="V30" si="33">S30-T30-U30</f>
        <v>0</v>
      </c>
      <c r="W30" s="47" t="e">
        <f t="shared" ref="W30" si="34">V30/S30</f>
        <v>#DIV/0!</v>
      </c>
    </row>
    <row r="31" spans="1:23" ht="17.25" customHeight="1">
      <c r="A31" s="46"/>
      <c r="B31" s="53"/>
      <c r="C31" s="29" t="s">
        <v>1</v>
      </c>
      <c r="D31" s="29"/>
      <c r="E31" s="29"/>
      <c r="F31" s="29"/>
      <c r="G31" s="29"/>
      <c r="H31" s="29"/>
      <c r="I31" s="29"/>
      <c r="J31" s="28"/>
      <c r="K31" s="28"/>
      <c r="L31" s="28"/>
      <c r="M31" s="28"/>
      <c r="N31" s="28"/>
      <c r="O31" s="28"/>
      <c r="P31" s="28"/>
      <c r="Q31" s="28"/>
      <c r="R31" s="39"/>
      <c r="S31" s="51"/>
      <c r="T31" s="49"/>
      <c r="U31" s="49"/>
      <c r="V31" s="50"/>
      <c r="W31" s="48"/>
    </row>
    <row r="32" spans="1:23" ht="17.25" customHeight="1">
      <c r="A32" s="46">
        <v>13</v>
      </c>
      <c r="B32" s="53"/>
      <c r="C32" s="29" t="s">
        <v>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38"/>
      <c r="S32" s="51">
        <f t="shared" ref="S32:S86" si="35">COUNTA(D32:R32)</f>
        <v>0</v>
      </c>
      <c r="T32" s="62"/>
      <c r="U32" s="49"/>
      <c r="V32" s="50">
        <f t="shared" ref="V32" si="36">S32-T32-U32</f>
        <v>0</v>
      </c>
      <c r="W32" s="47" t="e">
        <f t="shared" ref="W32" si="37">V32/S32</f>
        <v>#DIV/0!</v>
      </c>
    </row>
    <row r="33" spans="1:23" ht="17.25" customHeight="1">
      <c r="A33" s="46"/>
      <c r="B33" s="53"/>
      <c r="C33" s="29" t="s">
        <v>1</v>
      </c>
      <c r="D33" s="29"/>
      <c r="E33" s="29"/>
      <c r="F33" s="29"/>
      <c r="G33" s="29"/>
      <c r="H33" s="29"/>
      <c r="I33" s="29"/>
      <c r="J33" s="28"/>
      <c r="K33" s="28"/>
      <c r="L33" s="28"/>
      <c r="M33" s="28"/>
      <c r="N33" s="28"/>
      <c r="O33" s="28"/>
      <c r="P33" s="28"/>
      <c r="Q33" s="28"/>
      <c r="R33" s="39"/>
      <c r="S33" s="51"/>
      <c r="T33" s="62"/>
      <c r="U33" s="49"/>
      <c r="V33" s="50"/>
      <c r="W33" s="48"/>
    </row>
    <row r="34" spans="1:23" ht="17.25" customHeight="1">
      <c r="A34" s="46">
        <v>14</v>
      </c>
      <c r="B34" s="53"/>
      <c r="C34" s="29" t="s">
        <v>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38"/>
      <c r="S34" s="51">
        <f t="shared" ref="S34" si="38">COUNTA(D34:R34)</f>
        <v>0</v>
      </c>
      <c r="T34" s="54"/>
      <c r="U34" s="49"/>
      <c r="V34" s="50">
        <f t="shared" ref="V34" si="39">S34-T34-U34</f>
        <v>0</v>
      </c>
      <c r="W34" s="47" t="e">
        <f t="shared" ref="W34" si="40">V34/S34</f>
        <v>#DIV/0!</v>
      </c>
    </row>
    <row r="35" spans="1:23" ht="17.25" customHeight="1">
      <c r="A35" s="46"/>
      <c r="B35" s="53"/>
      <c r="C35" s="29" t="s">
        <v>1</v>
      </c>
      <c r="D35" s="29"/>
      <c r="E35" s="29"/>
      <c r="F35" s="29"/>
      <c r="G35" s="29"/>
      <c r="H35" s="29"/>
      <c r="I35" s="28"/>
      <c r="J35" s="28"/>
      <c r="K35" s="28"/>
      <c r="L35" s="28"/>
      <c r="M35" s="28"/>
      <c r="N35" s="28"/>
      <c r="O35" s="28"/>
      <c r="P35" s="28"/>
      <c r="Q35" s="28"/>
      <c r="R35" s="39"/>
      <c r="S35" s="51"/>
      <c r="T35" s="54"/>
      <c r="U35" s="49"/>
      <c r="V35" s="50"/>
      <c r="W35" s="48"/>
    </row>
    <row r="36" spans="1:23" ht="15" customHeight="1">
      <c r="A36" s="46">
        <v>15</v>
      </c>
      <c r="B36" s="53"/>
      <c r="C36" s="29" t="s">
        <v>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38"/>
      <c r="S36" s="51">
        <f t="shared" ref="S36:S90" si="41">COUNTA(D36:R36)</f>
        <v>0</v>
      </c>
      <c r="T36" s="49"/>
      <c r="U36" s="49"/>
      <c r="V36" s="50">
        <f t="shared" ref="V36" si="42">S36-T36-U36</f>
        <v>0</v>
      </c>
      <c r="W36" s="47" t="e">
        <f t="shared" ref="W36" si="43">V36/S36</f>
        <v>#DIV/0!</v>
      </c>
    </row>
    <row r="37" spans="1:23" ht="17.25" customHeight="1">
      <c r="A37" s="46"/>
      <c r="B37" s="53"/>
      <c r="C37" s="29" t="s">
        <v>1</v>
      </c>
      <c r="D37" s="29"/>
      <c r="E37" s="29"/>
      <c r="F37" s="29"/>
      <c r="G37" s="29"/>
      <c r="H37" s="29"/>
      <c r="I37" s="28"/>
      <c r="J37" s="28"/>
      <c r="K37" s="28"/>
      <c r="L37" s="28"/>
      <c r="M37" s="28"/>
      <c r="N37" s="28"/>
      <c r="O37" s="28"/>
      <c r="P37" s="28"/>
      <c r="Q37" s="28"/>
      <c r="R37" s="39"/>
      <c r="S37" s="51"/>
      <c r="T37" s="49"/>
      <c r="U37" s="49"/>
      <c r="V37" s="50"/>
      <c r="W37" s="48"/>
    </row>
    <row r="38" spans="1:23" ht="17.25" customHeight="1">
      <c r="A38" s="46">
        <v>16</v>
      </c>
      <c r="B38" s="53"/>
      <c r="C38" s="29" t="s">
        <v>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38"/>
      <c r="S38" s="51">
        <f t="shared" ref="S38:S92" si="44">COUNTA(D38:R38)</f>
        <v>0</v>
      </c>
      <c r="T38" s="54"/>
      <c r="U38" s="49"/>
      <c r="V38" s="50">
        <f t="shared" ref="V38" si="45">S38-T38-U38</f>
        <v>0</v>
      </c>
      <c r="W38" s="47" t="e">
        <f t="shared" ref="W38" si="46">V38/S38</f>
        <v>#DIV/0!</v>
      </c>
    </row>
    <row r="39" spans="1:23" ht="17.25" customHeight="1">
      <c r="A39" s="46"/>
      <c r="B39" s="53"/>
      <c r="C39" s="29" t="s">
        <v>1</v>
      </c>
      <c r="D39" s="29"/>
      <c r="E39" s="29"/>
      <c r="F39" s="27"/>
      <c r="G39" s="29"/>
      <c r="H39" s="29"/>
      <c r="I39" s="28"/>
      <c r="J39" s="28"/>
      <c r="K39" s="28"/>
      <c r="L39" s="28"/>
      <c r="M39" s="28"/>
      <c r="N39" s="28"/>
      <c r="O39" s="28"/>
      <c r="P39" s="28"/>
      <c r="Q39" s="28"/>
      <c r="R39" s="39"/>
      <c r="S39" s="51"/>
      <c r="T39" s="54"/>
      <c r="U39" s="49"/>
      <c r="V39" s="50"/>
      <c r="W39" s="48"/>
    </row>
    <row r="40" spans="1:23" ht="17.25" customHeight="1">
      <c r="A40" s="46">
        <v>17</v>
      </c>
      <c r="B40" s="53"/>
      <c r="C40" s="29" t="s">
        <v>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38"/>
      <c r="S40" s="51">
        <f t="shared" ref="S40:S94" si="47">COUNTA(D40:R40)</f>
        <v>0</v>
      </c>
      <c r="T40" s="54"/>
      <c r="U40" s="49"/>
      <c r="V40" s="50">
        <f t="shared" ref="V40" si="48">S40-T40-U40</f>
        <v>0</v>
      </c>
      <c r="W40" s="47" t="e">
        <f t="shared" ref="W40" si="49">V40/S40</f>
        <v>#DIV/0!</v>
      </c>
    </row>
    <row r="41" spans="1:23" ht="17.25" customHeight="1">
      <c r="A41" s="46"/>
      <c r="B41" s="53"/>
      <c r="C41" s="29" t="s">
        <v>1</v>
      </c>
      <c r="D41" s="29"/>
      <c r="E41" s="29"/>
      <c r="F41" s="29"/>
      <c r="G41" s="29"/>
      <c r="H41" s="29"/>
      <c r="I41" s="28"/>
      <c r="J41" s="28"/>
      <c r="K41" s="28"/>
      <c r="L41" s="28"/>
      <c r="M41" s="28"/>
      <c r="N41" s="28"/>
      <c r="O41" s="28"/>
      <c r="P41" s="28"/>
      <c r="Q41" s="28"/>
      <c r="R41" s="39"/>
      <c r="S41" s="51"/>
      <c r="T41" s="54"/>
      <c r="U41" s="49"/>
      <c r="V41" s="50"/>
      <c r="W41" s="48"/>
    </row>
    <row r="42" spans="1:23" ht="17.25" customHeight="1">
      <c r="A42" s="46">
        <v>18</v>
      </c>
      <c r="B42" s="53"/>
      <c r="C42" s="29" t="s">
        <v>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38"/>
      <c r="S42" s="51">
        <f t="shared" ref="S42" si="50">COUNTA(D42:R42)</f>
        <v>0</v>
      </c>
      <c r="T42" s="54"/>
      <c r="U42" s="54"/>
      <c r="V42" s="50">
        <f t="shared" ref="V42" si="51">S42-T42-U42</f>
        <v>0</v>
      </c>
      <c r="W42" s="47" t="e">
        <f t="shared" ref="W42" si="52">V42/S42</f>
        <v>#DIV/0!</v>
      </c>
    </row>
    <row r="43" spans="1:23" ht="17.25" customHeight="1">
      <c r="A43" s="46"/>
      <c r="B43" s="53"/>
      <c r="C43" s="29" t="s">
        <v>1</v>
      </c>
      <c r="D43" s="29"/>
      <c r="E43" s="29"/>
      <c r="F43" s="29"/>
      <c r="G43" s="29"/>
      <c r="H43" s="29"/>
      <c r="I43" s="29"/>
      <c r="J43" s="28"/>
      <c r="K43" s="28"/>
      <c r="L43" s="28"/>
      <c r="M43" s="28"/>
      <c r="N43" s="28"/>
      <c r="O43" s="28"/>
      <c r="P43" s="28"/>
      <c r="Q43" s="28"/>
      <c r="R43" s="39"/>
      <c r="S43" s="51"/>
      <c r="T43" s="54"/>
      <c r="U43" s="54"/>
      <c r="V43" s="50"/>
      <c r="W43" s="48"/>
    </row>
    <row r="44" spans="1:23" ht="17.25" customHeight="1">
      <c r="A44" s="46">
        <v>19</v>
      </c>
      <c r="B44" s="53"/>
      <c r="C44" s="29" t="s">
        <v>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38"/>
      <c r="S44" s="51">
        <f t="shared" si="26"/>
        <v>0</v>
      </c>
      <c r="T44" s="49"/>
      <c r="U44" s="49"/>
      <c r="V44" s="50">
        <f t="shared" ref="V44" si="53">S44-T44-U44</f>
        <v>0</v>
      </c>
      <c r="W44" s="47" t="e">
        <f t="shared" ref="W44" si="54">V44/S44</f>
        <v>#DIV/0!</v>
      </c>
    </row>
    <row r="45" spans="1:23" ht="17.25" customHeight="1">
      <c r="A45" s="46"/>
      <c r="B45" s="53"/>
      <c r="C45" s="29" t="s">
        <v>1</v>
      </c>
      <c r="D45" s="29"/>
      <c r="E45" s="29"/>
      <c r="F45" s="29"/>
      <c r="G45" s="29"/>
      <c r="H45" s="29"/>
      <c r="I45" s="29"/>
      <c r="J45" s="28"/>
      <c r="K45" s="28"/>
      <c r="L45" s="28"/>
      <c r="M45" s="28"/>
      <c r="N45" s="28"/>
      <c r="O45" s="28"/>
      <c r="P45" s="28"/>
      <c r="Q45" s="28"/>
      <c r="R45" s="39"/>
      <c r="S45" s="51"/>
      <c r="T45" s="49"/>
      <c r="U45" s="49"/>
      <c r="V45" s="50"/>
      <c r="W45" s="48"/>
    </row>
    <row r="46" spans="1:23" ht="17.25" customHeight="1">
      <c r="A46" s="46">
        <v>20</v>
      </c>
      <c r="B46" s="53"/>
      <c r="C46" s="29" t="s">
        <v>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38"/>
      <c r="S46" s="51">
        <f t="shared" si="29"/>
        <v>0</v>
      </c>
      <c r="T46" s="49"/>
      <c r="U46" s="49"/>
      <c r="V46" s="50">
        <f t="shared" ref="V46" si="55">S46-T46-U46</f>
        <v>0</v>
      </c>
      <c r="W46" s="47" t="e">
        <f t="shared" ref="W46" si="56">V46/S46</f>
        <v>#DIV/0!</v>
      </c>
    </row>
    <row r="47" spans="1:23" ht="17.25" customHeight="1">
      <c r="A47" s="46"/>
      <c r="B47" s="53"/>
      <c r="C47" s="29" t="s">
        <v>1</v>
      </c>
      <c r="D47" s="29"/>
      <c r="E47" s="29"/>
      <c r="F47" s="29"/>
      <c r="G47" s="29"/>
      <c r="H47" s="29"/>
      <c r="I47" s="29"/>
      <c r="J47" s="28"/>
      <c r="K47" s="28"/>
      <c r="L47" s="28"/>
      <c r="M47" s="28"/>
      <c r="N47" s="28"/>
      <c r="O47" s="28"/>
      <c r="P47" s="28"/>
      <c r="Q47" s="28"/>
      <c r="R47" s="39"/>
      <c r="S47" s="51"/>
      <c r="T47" s="49"/>
      <c r="U47" s="49"/>
      <c r="V47" s="50"/>
      <c r="W47" s="48"/>
    </row>
    <row r="48" spans="1:23" ht="17.25" customHeight="1">
      <c r="A48" s="46">
        <v>21</v>
      </c>
      <c r="B48" s="53"/>
      <c r="C48" s="29" t="s">
        <v>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38"/>
      <c r="S48" s="51">
        <f t="shared" si="32"/>
        <v>0</v>
      </c>
      <c r="T48" s="49"/>
      <c r="U48" s="49"/>
      <c r="V48" s="50">
        <f t="shared" ref="V48" si="57">S48-T48-U48</f>
        <v>0</v>
      </c>
      <c r="W48" s="47" t="e">
        <f t="shared" ref="W48" si="58">V48/S48</f>
        <v>#DIV/0!</v>
      </c>
    </row>
    <row r="49" spans="1:23" ht="17.25" customHeight="1">
      <c r="A49" s="46"/>
      <c r="B49" s="53"/>
      <c r="C49" s="29" t="s">
        <v>1</v>
      </c>
      <c r="D49" s="29"/>
      <c r="E49" s="29"/>
      <c r="F49" s="29"/>
      <c r="G49" s="29"/>
      <c r="H49" s="29"/>
      <c r="I49" s="29"/>
      <c r="J49" s="28"/>
      <c r="K49" s="28"/>
      <c r="L49" s="28"/>
      <c r="M49" s="28"/>
      <c r="N49" s="28"/>
      <c r="O49" s="28"/>
      <c r="P49" s="28"/>
      <c r="Q49" s="28"/>
      <c r="R49" s="39"/>
      <c r="S49" s="51"/>
      <c r="T49" s="49"/>
      <c r="U49" s="49"/>
      <c r="V49" s="50"/>
      <c r="W49" s="48"/>
    </row>
    <row r="50" spans="1:23" ht="17.25" customHeight="1">
      <c r="A50" s="46">
        <v>22</v>
      </c>
      <c r="B50" s="53"/>
      <c r="C50" s="29" t="s">
        <v>0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38"/>
      <c r="S50" s="51">
        <f t="shared" si="35"/>
        <v>0</v>
      </c>
      <c r="T50" s="49"/>
      <c r="U50" s="49"/>
      <c r="V50" s="50">
        <f t="shared" ref="V50" si="59">S50-T50-U50</f>
        <v>0</v>
      </c>
      <c r="W50" s="47" t="e">
        <f t="shared" ref="W50" si="60">V50/S50</f>
        <v>#DIV/0!</v>
      </c>
    </row>
    <row r="51" spans="1:23" ht="17.25" customHeight="1">
      <c r="A51" s="46"/>
      <c r="B51" s="53"/>
      <c r="C51" s="29" t="s">
        <v>1</v>
      </c>
      <c r="D51" s="29"/>
      <c r="E51" s="29"/>
      <c r="F51" s="29"/>
      <c r="G51" s="29"/>
      <c r="H51" s="29"/>
      <c r="I51" s="29"/>
      <c r="J51" s="28"/>
      <c r="K51" s="28"/>
      <c r="L51" s="28"/>
      <c r="M51" s="28"/>
      <c r="N51" s="28"/>
      <c r="O51" s="28"/>
      <c r="P51" s="28"/>
      <c r="Q51" s="28"/>
      <c r="R51" s="39"/>
      <c r="S51" s="51"/>
      <c r="T51" s="49"/>
      <c r="U51" s="49"/>
      <c r="V51" s="50"/>
      <c r="W51" s="48"/>
    </row>
    <row r="52" spans="1:23" ht="17.25" customHeight="1">
      <c r="A52" s="46">
        <v>23</v>
      </c>
      <c r="B52" s="53"/>
      <c r="C52" s="29" t="s">
        <v>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38"/>
      <c r="S52" s="51">
        <f t="shared" ref="S52" si="61">COUNTA(D52:R52)</f>
        <v>0</v>
      </c>
      <c r="T52" s="49"/>
      <c r="U52" s="49"/>
      <c r="V52" s="50">
        <f t="shared" ref="V52" si="62">S52-T52-U52</f>
        <v>0</v>
      </c>
      <c r="W52" s="47" t="e">
        <f t="shared" ref="W52" si="63">V52/S52</f>
        <v>#DIV/0!</v>
      </c>
    </row>
    <row r="53" spans="1:23" ht="17.25" customHeight="1">
      <c r="A53" s="46"/>
      <c r="B53" s="53"/>
      <c r="C53" s="29" t="s">
        <v>1</v>
      </c>
      <c r="D53" s="29"/>
      <c r="E53" s="29"/>
      <c r="F53" s="29"/>
      <c r="G53" s="29"/>
      <c r="H53" s="29"/>
      <c r="I53" s="29"/>
      <c r="J53" s="28"/>
      <c r="K53" s="28"/>
      <c r="L53" s="28"/>
      <c r="M53" s="28"/>
      <c r="N53" s="28"/>
      <c r="O53" s="28"/>
      <c r="P53" s="28"/>
      <c r="Q53" s="28"/>
      <c r="R53" s="39"/>
      <c r="S53" s="51"/>
      <c r="T53" s="49"/>
      <c r="U53" s="49"/>
      <c r="V53" s="50"/>
      <c r="W53" s="48"/>
    </row>
    <row r="54" spans="1:23" ht="17.25" customHeight="1">
      <c r="A54" s="46">
        <v>24</v>
      </c>
      <c r="B54" s="53"/>
      <c r="C54" s="29" t="s">
        <v>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38"/>
      <c r="S54" s="51">
        <f t="shared" si="41"/>
        <v>0</v>
      </c>
      <c r="T54" s="49"/>
      <c r="U54" s="54"/>
      <c r="V54" s="50">
        <f t="shared" ref="V54" si="64">S54-T54-U54</f>
        <v>0</v>
      </c>
      <c r="W54" s="47" t="e">
        <f t="shared" ref="W54" si="65">V54/S54</f>
        <v>#DIV/0!</v>
      </c>
    </row>
    <row r="55" spans="1:23" ht="17.25" customHeight="1">
      <c r="A55" s="46"/>
      <c r="B55" s="53"/>
      <c r="C55" s="29" t="s">
        <v>1</v>
      </c>
      <c r="D55" s="29"/>
      <c r="E55" s="29"/>
      <c r="F55" s="29"/>
      <c r="G55" s="29"/>
      <c r="H55" s="29"/>
      <c r="I55" s="29"/>
      <c r="J55" s="28"/>
      <c r="K55" s="28"/>
      <c r="L55" s="28"/>
      <c r="M55" s="28"/>
      <c r="N55" s="28"/>
      <c r="O55" s="28"/>
      <c r="P55" s="28"/>
      <c r="Q55" s="28"/>
      <c r="R55" s="39"/>
      <c r="S55" s="51"/>
      <c r="T55" s="49"/>
      <c r="U55" s="54"/>
      <c r="V55" s="50"/>
      <c r="W55" s="48"/>
    </row>
    <row r="56" spans="1:23" ht="17.25" customHeight="1">
      <c r="A56" s="46">
        <v>25</v>
      </c>
      <c r="B56" s="53"/>
      <c r="C56" s="29" t="s">
        <v>0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38"/>
      <c r="S56" s="51">
        <f t="shared" si="44"/>
        <v>0</v>
      </c>
      <c r="T56" s="54"/>
      <c r="U56" s="49"/>
      <c r="V56" s="50">
        <f t="shared" ref="V56" si="66">S56-T56-U56</f>
        <v>0</v>
      </c>
      <c r="W56" s="47" t="e">
        <f t="shared" ref="W56" si="67">V56/S56</f>
        <v>#DIV/0!</v>
      </c>
    </row>
    <row r="57" spans="1:23" ht="17.25" customHeight="1">
      <c r="A57" s="46"/>
      <c r="B57" s="53"/>
      <c r="C57" s="29" t="s">
        <v>1</v>
      </c>
      <c r="D57" s="29"/>
      <c r="E57" s="29"/>
      <c r="F57" s="29"/>
      <c r="G57" s="29"/>
      <c r="H57" s="29"/>
      <c r="I57" s="29"/>
      <c r="J57" s="28"/>
      <c r="K57" s="28"/>
      <c r="L57" s="28"/>
      <c r="M57" s="28"/>
      <c r="N57" s="28"/>
      <c r="O57" s="28"/>
      <c r="P57" s="28"/>
      <c r="Q57" s="28"/>
      <c r="R57" s="39"/>
      <c r="S57" s="51"/>
      <c r="T57" s="54"/>
      <c r="U57" s="49"/>
      <c r="V57" s="50"/>
      <c r="W57" s="48"/>
    </row>
    <row r="58" spans="1:23" ht="17.25" customHeight="1">
      <c r="A58" s="46">
        <v>26</v>
      </c>
      <c r="B58" s="53"/>
      <c r="C58" s="29" t="s">
        <v>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38"/>
      <c r="S58" s="51">
        <f t="shared" si="47"/>
        <v>0</v>
      </c>
      <c r="T58" s="54"/>
      <c r="U58" s="49"/>
      <c r="V58" s="50">
        <f t="shared" ref="V58" si="68">S58-T58-U58</f>
        <v>0</v>
      </c>
      <c r="W58" s="47" t="e">
        <f t="shared" ref="W58" si="69">V58/S58</f>
        <v>#DIV/0!</v>
      </c>
    </row>
    <row r="59" spans="1:23" ht="17.25" customHeight="1">
      <c r="A59" s="46"/>
      <c r="B59" s="53"/>
      <c r="C59" s="29" t="s">
        <v>1</v>
      </c>
      <c r="D59" s="29"/>
      <c r="E59" s="29"/>
      <c r="F59" s="29"/>
      <c r="G59" s="29"/>
      <c r="H59" s="29"/>
      <c r="I59" s="29"/>
      <c r="J59" s="28"/>
      <c r="K59" s="28"/>
      <c r="L59" s="28"/>
      <c r="M59" s="28"/>
      <c r="N59" s="28"/>
      <c r="O59" s="28"/>
      <c r="P59" s="28"/>
      <c r="Q59" s="28"/>
      <c r="R59" s="39"/>
      <c r="S59" s="51"/>
      <c r="T59" s="54"/>
      <c r="U59" s="49"/>
      <c r="V59" s="50"/>
      <c r="W59" s="48"/>
    </row>
    <row r="60" spans="1:23" ht="17.25" customHeight="1">
      <c r="A60" s="46">
        <v>27</v>
      </c>
      <c r="B60" s="53"/>
      <c r="C60" s="29" t="s">
        <v>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38"/>
      <c r="S60" s="51">
        <f t="shared" ref="S60" si="70">COUNTA(D60:R60)</f>
        <v>0</v>
      </c>
      <c r="T60" s="49"/>
      <c r="U60" s="49"/>
      <c r="V60" s="50">
        <f t="shared" ref="V60" si="71">S60-T60-U60</f>
        <v>0</v>
      </c>
      <c r="W60" s="47" t="e">
        <f t="shared" ref="W60" si="72">V60/S60</f>
        <v>#DIV/0!</v>
      </c>
    </row>
    <row r="61" spans="1:23" ht="17.25" customHeight="1">
      <c r="A61" s="46"/>
      <c r="B61" s="53"/>
      <c r="C61" s="29" t="s">
        <v>1</v>
      </c>
      <c r="D61" s="29"/>
      <c r="E61" s="29"/>
      <c r="F61" s="29"/>
      <c r="G61" s="29"/>
      <c r="H61" s="29"/>
      <c r="I61" s="29"/>
      <c r="J61" s="28"/>
      <c r="K61" s="28"/>
      <c r="L61" s="28"/>
      <c r="M61" s="28"/>
      <c r="N61" s="28"/>
      <c r="O61" s="28"/>
      <c r="P61" s="28"/>
      <c r="Q61" s="28"/>
      <c r="R61" s="39"/>
      <c r="S61" s="51"/>
      <c r="T61" s="49"/>
      <c r="U61" s="49"/>
      <c r="V61" s="50"/>
      <c r="W61" s="48"/>
    </row>
    <row r="62" spans="1:23" ht="17.25" customHeight="1">
      <c r="A62" s="46">
        <v>28</v>
      </c>
      <c r="B62" s="53"/>
      <c r="C62" s="29" t="s">
        <v>0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38"/>
      <c r="S62" s="51">
        <f t="shared" si="26"/>
        <v>0</v>
      </c>
      <c r="T62" s="54"/>
      <c r="U62" s="49"/>
      <c r="V62" s="50">
        <f t="shared" ref="V62" si="73">S62-T62-U62</f>
        <v>0</v>
      </c>
      <c r="W62" s="47" t="e">
        <f t="shared" ref="W62" si="74">V62/S62</f>
        <v>#DIV/0!</v>
      </c>
    </row>
    <row r="63" spans="1:23" ht="17.25" customHeight="1">
      <c r="A63" s="46"/>
      <c r="B63" s="53"/>
      <c r="C63" s="29" t="s">
        <v>1</v>
      </c>
      <c r="D63" s="29"/>
      <c r="E63" s="29"/>
      <c r="F63" s="29"/>
      <c r="G63" s="29"/>
      <c r="H63" s="29"/>
      <c r="I63" s="29"/>
      <c r="J63" s="28"/>
      <c r="K63" s="28"/>
      <c r="L63" s="28"/>
      <c r="M63" s="28"/>
      <c r="N63" s="28"/>
      <c r="O63" s="28"/>
      <c r="P63" s="28"/>
      <c r="Q63" s="28"/>
      <c r="R63" s="39"/>
      <c r="S63" s="51"/>
      <c r="T63" s="54"/>
      <c r="U63" s="49"/>
      <c r="V63" s="50"/>
      <c r="W63" s="48"/>
    </row>
    <row r="64" spans="1:23" ht="17.25" customHeight="1">
      <c r="A64" s="46">
        <v>29</v>
      </c>
      <c r="B64" s="53"/>
      <c r="C64" s="29" t="s">
        <v>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38"/>
      <c r="S64" s="51">
        <f t="shared" si="29"/>
        <v>0</v>
      </c>
      <c r="T64" s="49"/>
      <c r="U64" s="49"/>
      <c r="V64" s="50">
        <f t="shared" ref="V64" si="75">S64-T64-U64</f>
        <v>0</v>
      </c>
      <c r="W64" s="47" t="e">
        <f t="shared" ref="W64" si="76">V64/S64</f>
        <v>#DIV/0!</v>
      </c>
    </row>
    <row r="65" spans="1:23" ht="17.25" customHeight="1">
      <c r="A65" s="46"/>
      <c r="B65" s="53"/>
      <c r="C65" s="29" t="s">
        <v>1</v>
      </c>
      <c r="D65" s="29"/>
      <c r="E65" s="29"/>
      <c r="F65" s="29"/>
      <c r="G65" s="29"/>
      <c r="H65" s="29"/>
      <c r="I65" s="29"/>
      <c r="J65" s="28"/>
      <c r="K65" s="28"/>
      <c r="L65" s="28"/>
      <c r="M65" s="28"/>
      <c r="N65" s="28"/>
      <c r="O65" s="28"/>
      <c r="P65" s="28"/>
      <c r="Q65" s="28"/>
      <c r="R65" s="39"/>
      <c r="S65" s="51"/>
      <c r="T65" s="49"/>
      <c r="U65" s="49"/>
      <c r="V65" s="50"/>
      <c r="W65" s="48"/>
    </row>
    <row r="66" spans="1:23" ht="17.25" customHeight="1">
      <c r="A66" s="46">
        <v>30</v>
      </c>
      <c r="B66" s="53"/>
      <c r="C66" s="29" t="s">
        <v>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38"/>
      <c r="S66" s="51">
        <f t="shared" si="32"/>
        <v>0</v>
      </c>
      <c r="T66" s="54"/>
      <c r="U66" s="49"/>
      <c r="V66" s="50">
        <f t="shared" ref="V66" si="77">S66-T66-U66</f>
        <v>0</v>
      </c>
      <c r="W66" s="47" t="e">
        <f t="shared" ref="W66" si="78">V66/S66</f>
        <v>#DIV/0!</v>
      </c>
    </row>
    <row r="67" spans="1:23" ht="17.25" customHeight="1">
      <c r="A67" s="46"/>
      <c r="B67" s="53"/>
      <c r="C67" s="29" t="s">
        <v>1</v>
      </c>
      <c r="D67" s="29"/>
      <c r="E67" s="29"/>
      <c r="F67" s="29"/>
      <c r="G67" s="29"/>
      <c r="H67" s="29"/>
      <c r="I67" s="29"/>
      <c r="J67" s="28"/>
      <c r="K67" s="28"/>
      <c r="L67" s="28"/>
      <c r="M67" s="28"/>
      <c r="N67" s="28"/>
      <c r="O67" s="28"/>
      <c r="P67" s="28"/>
      <c r="Q67" s="28"/>
      <c r="R67" s="39"/>
      <c r="S67" s="51"/>
      <c r="T67" s="54"/>
      <c r="U67" s="49"/>
      <c r="V67" s="50"/>
      <c r="W67" s="48"/>
    </row>
    <row r="68" spans="1:23" ht="17.25" customHeight="1">
      <c r="A68" s="46">
        <v>31</v>
      </c>
      <c r="B68" s="53"/>
      <c r="C68" s="29" t="s">
        <v>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38"/>
      <c r="S68" s="51">
        <f t="shared" si="35"/>
        <v>0</v>
      </c>
      <c r="T68" s="54"/>
      <c r="U68" s="49"/>
      <c r="V68" s="50">
        <f t="shared" ref="V68" si="79">S68-T68-U68</f>
        <v>0</v>
      </c>
      <c r="W68" s="47" t="e">
        <f t="shared" ref="W68" si="80">V68/S68</f>
        <v>#DIV/0!</v>
      </c>
    </row>
    <row r="69" spans="1:23" ht="17.25" customHeight="1">
      <c r="A69" s="46"/>
      <c r="B69" s="53"/>
      <c r="C69" s="29" t="s">
        <v>1</v>
      </c>
      <c r="D69" s="29"/>
      <c r="E69" s="29"/>
      <c r="F69" s="29"/>
      <c r="G69" s="29"/>
      <c r="H69" s="29"/>
      <c r="I69" s="29"/>
      <c r="J69" s="28"/>
      <c r="K69" s="28"/>
      <c r="L69" s="28"/>
      <c r="M69" s="28"/>
      <c r="N69" s="28"/>
      <c r="O69" s="28"/>
      <c r="P69" s="28"/>
      <c r="Q69" s="28"/>
      <c r="R69" s="39"/>
      <c r="S69" s="51"/>
      <c r="T69" s="54"/>
      <c r="U69" s="49"/>
      <c r="V69" s="50"/>
      <c r="W69" s="48"/>
    </row>
    <row r="70" spans="1:23" ht="17.25" customHeight="1">
      <c r="A70" s="46">
        <v>32</v>
      </c>
      <c r="B70" s="53"/>
      <c r="C70" s="29" t="s">
        <v>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38"/>
      <c r="S70" s="51">
        <f t="shared" ref="S70" si="81">COUNTA(D70:R70)</f>
        <v>0</v>
      </c>
      <c r="T70" s="49"/>
      <c r="U70" s="49"/>
      <c r="V70" s="50">
        <f t="shared" ref="V70" si="82">S70-T70-U70</f>
        <v>0</v>
      </c>
      <c r="W70" s="47" t="e">
        <f t="shared" ref="W70" si="83">V70/S70</f>
        <v>#DIV/0!</v>
      </c>
    </row>
    <row r="71" spans="1:23" ht="17.25" customHeight="1">
      <c r="A71" s="46"/>
      <c r="B71" s="53"/>
      <c r="C71" s="29" t="s">
        <v>1</v>
      </c>
      <c r="D71" s="29"/>
      <c r="E71" s="29"/>
      <c r="F71" s="29"/>
      <c r="G71" s="29"/>
      <c r="H71" s="29"/>
      <c r="I71" s="29"/>
      <c r="J71" s="28"/>
      <c r="K71" s="28"/>
      <c r="L71" s="28"/>
      <c r="M71" s="28"/>
      <c r="N71" s="28"/>
      <c r="O71" s="28"/>
      <c r="P71" s="28"/>
      <c r="Q71" s="28"/>
      <c r="R71" s="39"/>
      <c r="S71" s="51"/>
      <c r="T71" s="49"/>
      <c r="U71" s="49"/>
      <c r="V71" s="50"/>
      <c r="W71" s="48"/>
    </row>
    <row r="72" spans="1:23" ht="17.25" customHeight="1">
      <c r="A72" s="46">
        <v>33</v>
      </c>
      <c r="B72" s="53"/>
      <c r="C72" s="29" t="s">
        <v>0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38"/>
      <c r="S72" s="51">
        <f t="shared" si="41"/>
        <v>0</v>
      </c>
      <c r="T72" s="54"/>
      <c r="U72" s="49"/>
      <c r="V72" s="50">
        <f t="shared" ref="V72" si="84">S72-T72-U72</f>
        <v>0</v>
      </c>
      <c r="W72" s="47" t="e">
        <f t="shared" ref="W72" si="85">V72/S72</f>
        <v>#DIV/0!</v>
      </c>
    </row>
    <row r="73" spans="1:23" ht="17.25" customHeight="1">
      <c r="A73" s="46"/>
      <c r="B73" s="53"/>
      <c r="C73" s="29" t="s">
        <v>1</v>
      </c>
      <c r="D73" s="29"/>
      <c r="E73" s="29"/>
      <c r="F73" s="29"/>
      <c r="G73" s="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39"/>
      <c r="S73" s="51"/>
      <c r="T73" s="54"/>
      <c r="U73" s="49"/>
      <c r="V73" s="50"/>
      <c r="W73" s="48"/>
    </row>
    <row r="74" spans="1:23" ht="17.25" customHeight="1">
      <c r="A74" s="46">
        <v>34</v>
      </c>
      <c r="B74" s="53"/>
      <c r="C74" s="29" t="s">
        <v>0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38"/>
      <c r="S74" s="51">
        <f t="shared" si="44"/>
        <v>0</v>
      </c>
      <c r="T74" s="49"/>
      <c r="U74" s="49"/>
      <c r="V74" s="50">
        <f t="shared" ref="V74" si="86">S74-T74-U74</f>
        <v>0</v>
      </c>
      <c r="W74" s="47" t="e">
        <f t="shared" ref="W74" si="87">V74/S74</f>
        <v>#DIV/0!</v>
      </c>
    </row>
    <row r="75" spans="1:23" ht="17.25" customHeight="1">
      <c r="A75" s="46"/>
      <c r="B75" s="53"/>
      <c r="C75" s="29" t="s">
        <v>1</v>
      </c>
      <c r="D75" s="29"/>
      <c r="E75" s="29"/>
      <c r="F75" s="29"/>
      <c r="G75" s="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39"/>
      <c r="S75" s="51"/>
      <c r="T75" s="49"/>
      <c r="U75" s="49"/>
      <c r="V75" s="50"/>
      <c r="W75" s="48"/>
    </row>
    <row r="76" spans="1:23" ht="17.25" customHeight="1">
      <c r="A76" s="46">
        <v>35</v>
      </c>
      <c r="B76" s="53"/>
      <c r="C76" s="29" t="s">
        <v>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38"/>
      <c r="S76" s="51">
        <f t="shared" si="47"/>
        <v>0</v>
      </c>
      <c r="T76" s="49"/>
      <c r="U76" s="49"/>
      <c r="V76" s="50">
        <f t="shared" ref="V76" si="88">S76-T76-U76</f>
        <v>0</v>
      </c>
      <c r="W76" s="47" t="e">
        <f t="shared" ref="W76" si="89">V76/S76</f>
        <v>#DIV/0!</v>
      </c>
    </row>
    <row r="77" spans="1:23" ht="17.25" customHeight="1">
      <c r="A77" s="46"/>
      <c r="B77" s="53"/>
      <c r="C77" s="29" t="s">
        <v>1</v>
      </c>
      <c r="D77" s="29"/>
      <c r="E77" s="29"/>
      <c r="F77" s="29"/>
      <c r="G77" s="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39"/>
      <c r="S77" s="51"/>
      <c r="T77" s="49"/>
      <c r="U77" s="49"/>
      <c r="V77" s="50"/>
      <c r="W77" s="48"/>
    </row>
    <row r="78" spans="1:23" ht="17.25" customHeight="1">
      <c r="A78" s="46">
        <v>36</v>
      </c>
      <c r="B78" s="52"/>
      <c r="C78" s="29" t="s">
        <v>0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38"/>
      <c r="S78" s="51">
        <f t="shared" ref="S78" si="90">COUNTA(D78:R78)</f>
        <v>0</v>
      </c>
      <c r="T78" s="49"/>
      <c r="U78" s="49"/>
      <c r="V78" s="50">
        <f t="shared" ref="V78" si="91">S78-T78-U78</f>
        <v>0</v>
      </c>
      <c r="W78" s="47" t="e">
        <f t="shared" ref="W78" si="92">V78/S78</f>
        <v>#DIV/0!</v>
      </c>
    </row>
    <row r="79" spans="1:23" ht="17.25" customHeight="1">
      <c r="A79" s="46"/>
      <c r="B79" s="52"/>
      <c r="C79" s="29" t="s">
        <v>1</v>
      </c>
      <c r="D79" s="29"/>
      <c r="E79" s="29"/>
      <c r="F79" s="29"/>
      <c r="G79" s="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39"/>
      <c r="S79" s="51"/>
      <c r="T79" s="49"/>
      <c r="U79" s="49"/>
      <c r="V79" s="50"/>
      <c r="W79" s="48"/>
    </row>
    <row r="80" spans="1:23" ht="17.25" customHeight="1">
      <c r="A80" s="46">
        <v>37</v>
      </c>
      <c r="B80" s="52"/>
      <c r="C80" s="29" t="s">
        <v>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38"/>
      <c r="S80" s="51">
        <f t="shared" si="26"/>
        <v>0</v>
      </c>
      <c r="T80" s="49"/>
      <c r="U80" s="49"/>
      <c r="V80" s="50">
        <f t="shared" ref="V80" si="93">S80-T80-U80</f>
        <v>0</v>
      </c>
      <c r="W80" s="47" t="e">
        <f t="shared" ref="W80" si="94">V80/S80</f>
        <v>#DIV/0!</v>
      </c>
    </row>
    <row r="81" spans="1:23" ht="17.25" customHeight="1">
      <c r="A81" s="46"/>
      <c r="B81" s="52"/>
      <c r="C81" s="29" t="s">
        <v>1</v>
      </c>
      <c r="D81" s="29"/>
      <c r="E81" s="29"/>
      <c r="F81" s="29"/>
      <c r="G81" s="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39"/>
      <c r="S81" s="51"/>
      <c r="T81" s="49"/>
      <c r="U81" s="49"/>
      <c r="V81" s="50"/>
      <c r="W81" s="48"/>
    </row>
    <row r="82" spans="1:23" ht="18" customHeight="1">
      <c r="A82" s="46">
        <v>38</v>
      </c>
      <c r="B82" s="64"/>
      <c r="C82" s="26" t="s">
        <v>0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38"/>
      <c r="S82" s="51">
        <f t="shared" si="29"/>
        <v>0</v>
      </c>
      <c r="T82" s="69"/>
      <c r="U82" s="63"/>
      <c r="V82" s="50">
        <f t="shared" ref="V82" si="95">S82-T82-U82</f>
        <v>0</v>
      </c>
      <c r="W82" s="47" t="e">
        <f t="shared" ref="W82" si="96">V82/S82</f>
        <v>#DIV/0!</v>
      </c>
    </row>
    <row r="83" spans="1:23" ht="18" customHeight="1">
      <c r="A83" s="46"/>
      <c r="B83" s="64"/>
      <c r="C83" s="26" t="s">
        <v>1</v>
      </c>
      <c r="D83" s="29"/>
      <c r="E83" s="29"/>
      <c r="F83" s="29"/>
      <c r="G83" s="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39"/>
      <c r="S83" s="51"/>
      <c r="T83" s="69"/>
      <c r="U83" s="63"/>
      <c r="V83" s="50"/>
      <c r="W83" s="48"/>
    </row>
    <row r="84" spans="1:23" ht="18" customHeight="1">
      <c r="A84" s="46">
        <v>39</v>
      </c>
      <c r="B84" s="64"/>
      <c r="C84" s="26" t="s">
        <v>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38"/>
      <c r="S84" s="51">
        <f t="shared" si="32"/>
        <v>0</v>
      </c>
      <c r="T84" s="69"/>
      <c r="U84" s="63"/>
      <c r="V84" s="50">
        <f t="shared" ref="V84" si="97">S84-T84-U84</f>
        <v>0</v>
      </c>
      <c r="W84" s="47" t="e">
        <f t="shared" ref="W84" si="98">V84/S84</f>
        <v>#DIV/0!</v>
      </c>
    </row>
    <row r="85" spans="1:23" ht="18" customHeight="1">
      <c r="A85" s="46"/>
      <c r="B85" s="64"/>
      <c r="C85" s="26" t="s">
        <v>1</v>
      </c>
      <c r="D85" s="29"/>
      <c r="E85" s="29"/>
      <c r="F85" s="29"/>
      <c r="G85" s="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39"/>
      <c r="S85" s="51"/>
      <c r="T85" s="69"/>
      <c r="U85" s="63"/>
      <c r="V85" s="50"/>
      <c r="W85" s="48"/>
    </row>
    <row r="86" spans="1:23" ht="18" customHeight="1">
      <c r="A86" s="46">
        <v>40</v>
      </c>
      <c r="B86" s="64"/>
      <c r="C86" s="26" t="s">
        <v>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38"/>
      <c r="S86" s="51">
        <f t="shared" si="35"/>
        <v>0</v>
      </c>
      <c r="T86" s="63"/>
      <c r="U86" s="63"/>
      <c r="V86" s="50">
        <f t="shared" ref="V86" si="99">S86-T86-U86</f>
        <v>0</v>
      </c>
      <c r="W86" s="47" t="e">
        <f t="shared" ref="W86" si="100">V86/S86</f>
        <v>#DIV/0!</v>
      </c>
    </row>
    <row r="87" spans="1:23" ht="18" customHeight="1">
      <c r="A87" s="46"/>
      <c r="B87" s="64"/>
      <c r="C87" s="26" t="s">
        <v>1</v>
      </c>
      <c r="D87" s="29"/>
      <c r="E87" s="29"/>
      <c r="F87" s="29"/>
      <c r="G87" s="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39"/>
      <c r="S87" s="51"/>
      <c r="T87" s="63"/>
      <c r="U87" s="63"/>
      <c r="V87" s="50"/>
      <c r="W87" s="48"/>
    </row>
    <row r="88" spans="1:23" ht="18" customHeight="1">
      <c r="A88" s="46">
        <v>41</v>
      </c>
      <c r="B88" s="64"/>
      <c r="C88" s="26" t="s">
        <v>0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38"/>
      <c r="S88" s="51">
        <f t="shared" ref="S88" si="101">COUNTA(D88:R88)</f>
        <v>0</v>
      </c>
      <c r="T88" s="69"/>
      <c r="U88" s="63"/>
      <c r="V88" s="50">
        <f t="shared" ref="V88" si="102">S88-T88-U88</f>
        <v>0</v>
      </c>
      <c r="W88" s="47" t="e">
        <f t="shared" ref="W88" si="103">V88/S88</f>
        <v>#DIV/0!</v>
      </c>
    </row>
    <row r="89" spans="1:23" ht="18" customHeight="1">
      <c r="A89" s="46"/>
      <c r="B89" s="64"/>
      <c r="C89" s="26" t="s">
        <v>1</v>
      </c>
      <c r="D89" s="29"/>
      <c r="E89" s="29"/>
      <c r="F89" s="29"/>
      <c r="G89" s="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39"/>
      <c r="S89" s="51"/>
      <c r="T89" s="69"/>
      <c r="U89" s="63"/>
      <c r="V89" s="50"/>
      <c r="W89" s="48"/>
    </row>
    <row r="90" spans="1:23" ht="18" customHeight="1">
      <c r="A90" s="46">
        <v>42</v>
      </c>
      <c r="B90" s="64"/>
      <c r="C90" s="26" t="s">
        <v>0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38"/>
      <c r="S90" s="51">
        <f t="shared" si="41"/>
        <v>0</v>
      </c>
      <c r="T90" s="63"/>
      <c r="U90" s="63"/>
      <c r="V90" s="50">
        <f t="shared" ref="V90" si="104">S90-T90-U90</f>
        <v>0</v>
      </c>
      <c r="W90" s="47" t="e">
        <f t="shared" ref="W90" si="105">V90/S90</f>
        <v>#DIV/0!</v>
      </c>
    </row>
    <row r="91" spans="1:23" ht="18" customHeight="1">
      <c r="A91" s="46"/>
      <c r="B91" s="64"/>
      <c r="C91" s="26" t="s">
        <v>1</v>
      </c>
      <c r="D91" s="29"/>
      <c r="E91" s="29"/>
      <c r="F91" s="29"/>
      <c r="G91" s="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39"/>
      <c r="S91" s="51"/>
      <c r="T91" s="63"/>
      <c r="U91" s="63"/>
      <c r="V91" s="50"/>
      <c r="W91" s="48"/>
    </row>
    <row r="92" spans="1:23" ht="18" customHeight="1">
      <c r="A92" s="46">
        <v>43</v>
      </c>
      <c r="B92" s="64"/>
      <c r="C92" s="26" t="s">
        <v>0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38"/>
      <c r="S92" s="51">
        <f t="shared" si="44"/>
        <v>0</v>
      </c>
      <c r="T92" s="63"/>
      <c r="U92" s="63"/>
      <c r="V92" s="50">
        <f t="shared" ref="V92" si="106">S92-T92-U92</f>
        <v>0</v>
      </c>
      <c r="W92" s="47" t="e">
        <f t="shared" ref="W92" si="107">V92/S92</f>
        <v>#DIV/0!</v>
      </c>
    </row>
    <row r="93" spans="1:23" ht="18" customHeight="1">
      <c r="A93" s="46"/>
      <c r="B93" s="64"/>
      <c r="C93" s="26" t="s">
        <v>1</v>
      </c>
      <c r="D93" s="29"/>
      <c r="E93" s="29"/>
      <c r="F93" s="29"/>
      <c r="G93" s="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39"/>
      <c r="S93" s="51"/>
      <c r="T93" s="63"/>
      <c r="U93" s="63"/>
      <c r="V93" s="50"/>
      <c r="W93" s="48"/>
    </row>
    <row r="94" spans="1:23" ht="18" customHeight="1">
      <c r="A94" s="46">
        <v>44</v>
      </c>
      <c r="B94" s="67"/>
      <c r="C94" s="26" t="s">
        <v>0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38"/>
      <c r="S94" s="51">
        <f t="shared" si="47"/>
        <v>0</v>
      </c>
      <c r="T94" s="63"/>
      <c r="U94" s="63"/>
      <c r="V94" s="50">
        <f t="shared" ref="V94" si="108">S94-T94-U94</f>
        <v>0</v>
      </c>
      <c r="W94" s="47" t="e">
        <f t="shared" ref="W94" si="109">V94/S94</f>
        <v>#DIV/0!</v>
      </c>
    </row>
    <row r="95" spans="1:23" ht="18" customHeight="1">
      <c r="A95" s="46"/>
      <c r="B95" s="67"/>
      <c r="C95" s="26" t="s">
        <v>1</v>
      </c>
      <c r="D95" s="29"/>
      <c r="E95" s="29"/>
      <c r="F95" s="29"/>
      <c r="G95" s="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39"/>
      <c r="S95" s="51"/>
      <c r="T95" s="63"/>
      <c r="U95" s="63"/>
      <c r="V95" s="50"/>
      <c r="W95" s="48"/>
    </row>
    <row r="96" spans="1:23" ht="18" customHeight="1">
      <c r="A96" s="46">
        <v>45</v>
      </c>
      <c r="B96" s="64"/>
      <c r="C96" s="26" t="s">
        <v>0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38"/>
      <c r="S96" s="51">
        <f t="shared" ref="S96" si="110">COUNTA(D96:R96)</f>
        <v>0</v>
      </c>
      <c r="T96" s="63"/>
      <c r="U96" s="63"/>
      <c r="V96" s="50">
        <f t="shared" ref="V96" si="111">S96-T96-U96</f>
        <v>0</v>
      </c>
      <c r="W96" s="47" t="e">
        <f t="shared" ref="W96" si="112">V96/S96</f>
        <v>#DIV/0!</v>
      </c>
    </row>
    <row r="97" spans="1:23" ht="18" customHeight="1">
      <c r="A97" s="46"/>
      <c r="B97" s="64"/>
      <c r="C97" s="26" t="s">
        <v>1</v>
      </c>
      <c r="D97" s="29"/>
      <c r="E97" s="29"/>
      <c r="F97" s="29"/>
      <c r="G97" s="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39"/>
      <c r="S97" s="51"/>
      <c r="T97" s="63"/>
      <c r="U97" s="63"/>
      <c r="V97" s="50"/>
      <c r="W97" s="48"/>
    </row>
    <row r="98" spans="1:23" ht="18" customHeight="1">
      <c r="A98" s="46">
        <v>46</v>
      </c>
      <c r="B98" s="64"/>
      <c r="C98" s="26" t="s">
        <v>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38"/>
      <c r="S98" s="51">
        <f t="shared" ref="S98" si="113">COUNTA(D98:R98)</f>
        <v>0</v>
      </c>
      <c r="T98" s="63"/>
      <c r="U98" s="69"/>
      <c r="V98" s="50">
        <f t="shared" ref="V98" si="114">S98-T98-U98</f>
        <v>0</v>
      </c>
      <c r="W98" s="47" t="e">
        <f t="shared" ref="W98" si="115">V98/S98</f>
        <v>#DIV/0!</v>
      </c>
    </row>
    <row r="99" spans="1:23" ht="18" customHeight="1">
      <c r="A99" s="46"/>
      <c r="B99" s="64"/>
      <c r="C99" s="26" t="s">
        <v>1</v>
      </c>
      <c r="D99" s="29"/>
      <c r="E99" s="29"/>
      <c r="F99" s="29"/>
      <c r="G99" s="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39"/>
      <c r="S99" s="51"/>
      <c r="T99" s="63"/>
      <c r="U99" s="69"/>
      <c r="V99" s="50"/>
      <c r="W99" s="48"/>
    </row>
    <row r="100" spans="1:23" s="16" customFormat="1" ht="18" customHeight="1">
      <c r="A100" s="46">
        <v>47</v>
      </c>
      <c r="B100" s="64"/>
      <c r="C100" s="26" t="s">
        <v>0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38"/>
      <c r="S100" s="51">
        <f t="shared" ref="S100" si="116">COUNTA(D100:R100)</f>
        <v>0</v>
      </c>
      <c r="T100" s="63"/>
      <c r="U100" s="69"/>
      <c r="V100" s="50">
        <f t="shared" ref="V100" si="117">S100-T100-U100</f>
        <v>0</v>
      </c>
      <c r="W100" s="47" t="e">
        <f t="shared" ref="W100" si="118">V100/S100</f>
        <v>#DIV/0!</v>
      </c>
    </row>
    <row r="101" spans="1:23" s="16" customFormat="1" ht="18" customHeight="1">
      <c r="A101" s="46"/>
      <c r="B101" s="64"/>
      <c r="C101" s="26" t="s">
        <v>1</v>
      </c>
      <c r="D101" s="29"/>
      <c r="E101" s="29"/>
      <c r="F101" s="29"/>
      <c r="G101" s="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39"/>
      <c r="S101" s="51"/>
      <c r="T101" s="63"/>
      <c r="U101" s="69"/>
      <c r="V101" s="50"/>
      <c r="W101" s="48"/>
    </row>
    <row r="102" spans="1:23" s="16" customFormat="1" ht="18" customHeight="1">
      <c r="A102" s="46">
        <v>48</v>
      </c>
      <c r="B102" s="64"/>
      <c r="C102" s="26" t="s">
        <v>0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38"/>
      <c r="S102" s="51">
        <f t="shared" ref="S102" si="119">COUNTA(D102:R102)</f>
        <v>0</v>
      </c>
      <c r="T102" s="63"/>
      <c r="U102" s="69"/>
      <c r="V102" s="50">
        <f t="shared" ref="V102" si="120">S102-T102-U102</f>
        <v>0</v>
      </c>
      <c r="W102" s="47" t="e">
        <f t="shared" ref="W102" si="121">V102/S102</f>
        <v>#DIV/0!</v>
      </c>
    </row>
    <row r="103" spans="1:23" s="16" customFormat="1" ht="18" customHeight="1">
      <c r="A103" s="46"/>
      <c r="B103" s="64"/>
      <c r="C103" s="26" t="s">
        <v>1</v>
      </c>
      <c r="D103" s="29"/>
      <c r="E103" s="29"/>
      <c r="F103" s="29"/>
      <c r="G103" s="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39"/>
      <c r="S103" s="51"/>
      <c r="T103" s="63"/>
      <c r="U103" s="69"/>
      <c r="V103" s="50"/>
      <c r="W103" s="48"/>
    </row>
    <row r="104" spans="1:23" s="16" customFormat="1" ht="18" customHeight="1">
      <c r="A104" s="46">
        <v>49</v>
      </c>
      <c r="B104" s="64"/>
      <c r="C104" s="26" t="s">
        <v>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38"/>
      <c r="S104" s="51">
        <f t="shared" ref="S104" si="122">COUNTA(D104:R104)</f>
        <v>0</v>
      </c>
      <c r="T104" s="63"/>
      <c r="U104" s="69"/>
      <c r="V104" s="50">
        <f t="shared" ref="V104" si="123">S104-T104-U104</f>
        <v>0</v>
      </c>
      <c r="W104" s="47" t="e">
        <f t="shared" ref="W104" si="124">V104/S104</f>
        <v>#DIV/0!</v>
      </c>
    </row>
    <row r="105" spans="1:23" s="16" customFormat="1" ht="18" customHeight="1">
      <c r="A105" s="46"/>
      <c r="B105" s="64"/>
      <c r="C105" s="26" t="s">
        <v>1</v>
      </c>
      <c r="D105" s="29"/>
      <c r="E105" s="29"/>
      <c r="F105" s="29"/>
      <c r="G105" s="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39"/>
      <c r="S105" s="51"/>
      <c r="T105" s="63"/>
      <c r="U105" s="69"/>
      <c r="V105" s="50"/>
      <c r="W105" s="48"/>
    </row>
    <row r="106" spans="1:23" s="16" customFormat="1" ht="18" customHeight="1">
      <c r="A106" s="46">
        <v>50</v>
      </c>
      <c r="B106" s="64"/>
      <c r="C106" s="26" t="s">
        <v>0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38"/>
      <c r="S106" s="51">
        <f t="shared" ref="S106" si="125">COUNTA(D106:R106)</f>
        <v>0</v>
      </c>
      <c r="T106" s="63"/>
      <c r="U106" s="69"/>
      <c r="V106" s="50">
        <f t="shared" ref="V106" si="126">S106-T106-U106</f>
        <v>0</v>
      </c>
      <c r="W106" s="47" t="e">
        <f t="shared" ref="W106" si="127">V106/S106</f>
        <v>#DIV/0!</v>
      </c>
    </row>
    <row r="107" spans="1:23" s="16" customFormat="1" ht="18" customHeight="1">
      <c r="A107" s="46"/>
      <c r="B107" s="64"/>
      <c r="C107" s="26" t="s">
        <v>1</v>
      </c>
      <c r="D107" s="29"/>
      <c r="E107" s="29"/>
      <c r="F107" s="29"/>
      <c r="G107" s="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39"/>
      <c r="S107" s="51"/>
      <c r="T107" s="63"/>
      <c r="U107" s="69"/>
      <c r="V107" s="50"/>
      <c r="W107" s="48"/>
    </row>
    <row r="108" spans="1:23" s="16" customFormat="1" ht="18" customHeight="1">
      <c r="A108" s="46">
        <v>51</v>
      </c>
      <c r="B108" s="64"/>
      <c r="C108" s="26" t="s">
        <v>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38"/>
      <c r="S108" s="51">
        <f t="shared" ref="S108" si="128">COUNTA(D108:R108)</f>
        <v>0</v>
      </c>
      <c r="T108" s="63"/>
      <c r="U108" s="69"/>
      <c r="V108" s="50">
        <f t="shared" ref="V108" si="129">S108-T108-U108</f>
        <v>0</v>
      </c>
      <c r="W108" s="47" t="e">
        <f t="shared" ref="W108" si="130">V108/S108</f>
        <v>#DIV/0!</v>
      </c>
    </row>
    <row r="109" spans="1:23" s="16" customFormat="1" ht="18" customHeight="1">
      <c r="A109" s="46"/>
      <c r="B109" s="64"/>
      <c r="C109" s="26" t="s">
        <v>1</v>
      </c>
      <c r="D109" s="29"/>
      <c r="E109" s="29"/>
      <c r="F109" s="29"/>
      <c r="G109" s="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39"/>
      <c r="S109" s="51"/>
      <c r="T109" s="63"/>
      <c r="U109" s="69"/>
      <c r="V109" s="50"/>
      <c r="W109" s="48"/>
    </row>
    <row r="110" spans="1:23" s="16" customFormat="1" ht="18" customHeight="1">
      <c r="A110" s="46">
        <v>52</v>
      </c>
      <c r="B110" s="64"/>
      <c r="C110" s="26" t="s">
        <v>0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38"/>
      <c r="S110" s="51">
        <f t="shared" ref="S110" si="131">COUNTA(D110:R110)</f>
        <v>0</v>
      </c>
      <c r="T110" s="63"/>
      <c r="U110" s="69"/>
      <c r="V110" s="50">
        <f t="shared" ref="V110" si="132">S110-T110-U110</f>
        <v>0</v>
      </c>
      <c r="W110" s="47" t="e">
        <f t="shared" ref="W110" si="133">V110/S110</f>
        <v>#DIV/0!</v>
      </c>
    </row>
    <row r="111" spans="1:23" s="16" customFormat="1" ht="18" customHeight="1">
      <c r="A111" s="46"/>
      <c r="B111" s="64"/>
      <c r="C111" s="26" t="s">
        <v>1</v>
      </c>
      <c r="D111" s="29"/>
      <c r="E111" s="29"/>
      <c r="F111" s="29"/>
      <c r="G111" s="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39"/>
      <c r="S111" s="51"/>
      <c r="T111" s="63"/>
      <c r="U111" s="69"/>
      <c r="V111" s="50"/>
      <c r="W111" s="48"/>
    </row>
    <row r="112" spans="1:23" s="16" customFormat="1" ht="18" customHeight="1">
      <c r="A112" s="46">
        <v>53</v>
      </c>
      <c r="B112" s="64"/>
      <c r="C112" s="26" t="s">
        <v>0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38"/>
      <c r="S112" s="51">
        <f t="shared" ref="S112" si="134">COUNTA(D112:R112)</f>
        <v>0</v>
      </c>
      <c r="T112" s="63"/>
      <c r="U112" s="69"/>
      <c r="V112" s="50">
        <f t="shared" ref="V112" si="135">S112-T112-U112</f>
        <v>0</v>
      </c>
      <c r="W112" s="47" t="e">
        <f t="shared" ref="W112" si="136">V112/S112</f>
        <v>#DIV/0!</v>
      </c>
    </row>
    <row r="113" spans="1:23" s="16" customFormat="1" ht="18" customHeight="1">
      <c r="A113" s="46"/>
      <c r="B113" s="64"/>
      <c r="C113" s="26" t="s">
        <v>1</v>
      </c>
      <c r="D113" s="29"/>
      <c r="E113" s="29"/>
      <c r="F113" s="29"/>
      <c r="G113" s="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39"/>
      <c r="S113" s="51"/>
      <c r="T113" s="63"/>
      <c r="U113" s="69"/>
      <c r="V113" s="50"/>
      <c r="W113" s="48"/>
    </row>
    <row r="114" spans="1:23" s="16" customFormat="1" ht="18" customHeight="1">
      <c r="A114" s="46">
        <v>54</v>
      </c>
      <c r="B114" s="64"/>
      <c r="C114" s="26" t="s">
        <v>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38"/>
      <c r="S114" s="51">
        <f t="shared" ref="S114" si="137">COUNTA(D114:R114)</f>
        <v>0</v>
      </c>
      <c r="T114" s="63"/>
      <c r="U114" s="69"/>
      <c r="V114" s="50">
        <f t="shared" ref="V114" si="138">S114-T114-U114</f>
        <v>0</v>
      </c>
      <c r="W114" s="47" t="e">
        <f t="shared" ref="W114" si="139">V114/S114</f>
        <v>#DIV/0!</v>
      </c>
    </row>
    <row r="115" spans="1:23" s="16" customFormat="1" ht="18" customHeight="1">
      <c r="A115" s="46"/>
      <c r="B115" s="64"/>
      <c r="C115" s="26" t="s">
        <v>1</v>
      </c>
      <c r="D115" s="29"/>
      <c r="E115" s="29"/>
      <c r="F115" s="29"/>
      <c r="G115" s="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39"/>
      <c r="S115" s="51"/>
      <c r="T115" s="63"/>
      <c r="U115" s="69"/>
      <c r="V115" s="50"/>
      <c r="W115" s="48"/>
    </row>
    <row r="116" spans="1:23" s="16" customFormat="1" ht="18" customHeight="1">
      <c r="A116" s="46">
        <v>55</v>
      </c>
      <c r="B116" s="64"/>
      <c r="C116" s="26" t="s">
        <v>0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38"/>
      <c r="S116" s="51">
        <f t="shared" ref="S116" si="140">COUNTA(D116:R116)</f>
        <v>0</v>
      </c>
      <c r="T116" s="63"/>
      <c r="U116" s="69"/>
      <c r="V116" s="50">
        <f t="shared" ref="V116" si="141">S116-T116-U116</f>
        <v>0</v>
      </c>
      <c r="W116" s="47" t="e">
        <f t="shared" ref="W116" si="142">V116/S116</f>
        <v>#DIV/0!</v>
      </c>
    </row>
    <row r="117" spans="1:23" s="16" customFormat="1" ht="18" customHeight="1">
      <c r="A117" s="46"/>
      <c r="B117" s="64"/>
      <c r="C117" s="26" t="s">
        <v>1</v>
      </c>
      <c r="D117" s="29"/>
      <c r="E117" s="29"/>
      <c r="F117" s="29"/>
      <c r="G117" s="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39"/>
      <c r="S117" s="51"/>
      <c r="T117" s="63"/>
      <c r="U117" s="69"/>
      <c r="V117" s="50"/>
      <c r="W117" s="48"/>
    </row>
    <row r="118" spans="1:23" s="16" customFormat="1" ht="18" customHeight="1">
      <c r="A118" s="46">
        <v>56</v>
      </c>
      <c r="B118" s="64"/>
      <c r="C118" s="26" t="s">
        <v>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38"/>
      <c r="S118" s="51">
        <f t="shared" ref="S118" si="143">COUNTA(D118:R118)</f>
        <v>0</v>
      </c>
      <c r="T118" s="63"/>
      <c r="U118" s="69"/>
      <c r="V118" s="50">
        <f t="shared" ref="V118" si="144">S118-T118-U118</f>
        <v>0</v>
      </c>
      <c r="W118" s="47" t="e">
        <f t="shared" ref="W118" si="145">V118/S118</f>
        <v>#DIV/0!</v>
      </c>
    </row>
    <row r="119" spans="1:23" s="16" customFormat="1" ht="18" customHeight="1">
      <c r="A119" s="46"/>
      <c r="B119" s="64"/>
      <c r="C119" s="26" t="s">
        <v>1</v>
      </c>
      <c r="D119" s="29"/>
      <c r="E119" s="29"/>
      <c r="F119" s="29"/>
      <c r="G119" s="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39"/>
      <c r="S119" s="51"/>
      <c r="T119" s="63"/>
      <c r="U119" s="69"/>
      <c r="V119" s="50"/>
      <c r="W119" s="48"/>
    </row>
    <row r="120" spans="1:23" s="16" customFormat="1" ht="18" customHeight="1">
      <c r="A120" s="46">
        <v>57</v>
      </c>
      <c r="B120" s="64"/>
      <c r="C120" s="26" t="s">
        <v>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38"/>
      <c r="S120" s="51">
        <f t="shared" ref="S120" si="146">COUNTA(D120:R120)</f>
        <v>0</v>
      </c>
      <c r="T120" s="63"/>
      <c r="U120" s="69"/>
      <c r="V120" s="50">
        <f t="shared" ref="V120" si="147">S120-T120-U120</f>
        <v>0</v>
      </c>
      <c r="W120" s="47" t="e">
        <f t="shared" ref="W120" si="148">V120/S120</f>
        <v>#DIV/0!</v>
      </c>
    </row>
    <row r="121" spans="1:23" s="16" customFormat="1" ht="18" customHeight="1">
      <c r="A121" s="46"/>
      <c r="B121" s="64"/>
      <c r="C121" s="26" t="s">
        <v>1</v>
      </c>
      <c r="D121" s="29"/>
      <c r="E121" s="29"/>
      <c r="F121" s="29"/>
      <c r="G121" s="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39"/>
      <c r="S121" s="51"/>
      <c r="T121" s="63"/>
      <c r="U121" s="69"/>
      <c r="V121" s="50"/>
      <c r="W121" s="48"/>
    </row>
    <row r="122" spans="1:23" s="16" customFormat="1" ht="18" customHeight="1">
      <c r="A122" s="46">
        <v>58</v>
      </c>
      <c r="B122" s="64"/>
      <c r="C122" s="26" t="s">
        <v>0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38"/>
      <c r="S122" s="51">
        <f t="shared" ref="S122" si="149">COUNTA(D122:R122)</f>
        <v>0</v>
      </c>
      <c r="T122" s="63"/>
      <c r="U122" s="69"/>
      <c r="V122" s="50">
        <f t="shared" ref="V122" si="150">S122-T122-U122</f>
        <v>0</v>
      </c>
      <c r="W122" s="47" t="e">
        <f t="shared" ref="W122" si="151">V122/S122</f>
        <v>#DIV/0!</v>
      </c>
    </row>
    <row r="123" spans="1:23" s="16" customFormat="1" ht="18" customHeight="1">
      <c r="A123" s="46"/>
      <c r="B123" s="64"/>
      <c r="C123" s="26" t="s">
        <v>1</v>
      </c>
      <c r="D123" s="29"/>
      <c r="E123" s="29"/>
      <c r="F123" s="29"/>
      <c r="G123" s="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39"/>
      <c r="S123" s="51"/>
      <c r="T123" s="63"/>
      <c r="U123" s="69"/>
      <c r="V123" s="50"/>
      <c r="W123" s="48"/>
    </row>
    <row r="124" spans="1:23" s="16" customFormat="1" ht="18" customHeight="1">
      <c r="A124" s="46">
        <v>59</v>
      </c>
      <c r="B124" s="64"/>
      <c r="C124" s="26" t="s">
        <v>0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38"/>
      <c r="S124" s="51">
        <f t="shared" ref="S124" si="152">COUNTA(D124:R124)</f>
        <v>0</v>
      </c>
      <c r="T124" s="63"/>
      <c r="U124" s="69"/>
      <c r="V124" s="50">
        <f t="shared" ref="V124" si="153">S124-T124-U124</f>
        <v>0</v>
      </c>
      <c r="W124" s="47" t="e">
        <f t="shared" ref="W124" si="154">V124/S124</f>
        <v>#DIV/0!</v>
      </c>
    </row>
    <row r="125" spans="1:23" s="16" customFormat="1" ht="18" customHeight="1">
      <c r="A125" s="46"/>
      <c r="B125" s="64"/>
      <c r="C125" s="26" t="s">
        <v>1</v>
      </c>
      <c r="D125" s="29"/>
      <c r="E125" s="29"/>
      <c r="F125" s="29"/>
      <c r="G125" s="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39"/>
      <c r="S125" s="51"/>
      <c r="T125" s="63"/>
      <c r="U125" s="69"/>
      <c r="V125" s="50"/>
      <c r="W125" s="48"/>
    </row>
    <row r="126" spans="1:23" s="16" customFormat="1" ht="18" customHeight="1">
      <c r="A126" s="46">
        <v>60</v>
      </c>
      <c r="B126" s="64"/>
      <c r="C126" s="26" t="s">
        <v>0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38"/>
      <c r="S126" s="51">
        <f t="shared" ref="S126" si="155">COUNTA(D126:R126)</f>
        <v>0</v>
      </c>
      <c r="T126" s="63"/>
      <c r="U126" s="69"/>
      <c r="V126" s="50">
        <f t="shared" ref="V126" si="156">S126-T126-U126</f>
        <v>0</v>
      </c>
      <c r="W126" s="47" t="e">
        <f t="shared" ref="W126" si="157">V126/S126</f>
        <v>#DIV/0!</v>
      </c>
    </row>
    <row r="127" spans="1:23" s="16" customFormat="1" ht="18" customHeight="1">
      <c r="A127" s="46"/>
      <c r="B127" s="64"/>
      <c r="C127" s="26" t="s">
        <v>1</v>
      </c>
      <c r="D127" s="29"/>
      <c r="E127" s="29"/>
      <c r="F127" s="29"/>
      <c r="G127" s="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39"/>
      <c r="S127" s="51"/>
      <c r="T127" s="63"/>
      <c r="U127" s="69"/>
      <c r="V127" s="50"/>
      <c r="W127" s="48"/>
    </row>
    <row r="128" spans="1:23" s="16" customFormat="1" ht="18" customHeight="1">
      <c r="A128" s="46">
        <v>61</v>
      </c>
      <c r="B128" s="64"/>
      <c r="C128" s="26" t="s">
        <v>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38"/>
      <c r="S128" s="51">
        <f t="shared" ref="S128" si="158">COUNTA(D128:R128)</f>
        <v>0</v>
      </c>
      <c r="T128" s="63"/>
      <c r="U128" s="69"/>
      <c r="V128" s="50">
        <f t="shared" ref="V128" si="159">S128-T128-U128</f>
        <v>0</v>
      </c>
      <c r="W128" s="47" t="e">
        <f t="shared" ref="W128" si="160">V128/S128</f>
        <v>#DIV/0!</v>
      </c>
    </row>
    <row r="129" spans="1:23" s="16" customFormat="1" ht="18" customHeight="1">
      <c r="A129" s="46"/>
      <c r="B129" s="64"/>
      <c r="C129" s="26" t="s">
        <v>1</v>
      </c>
      <c r="D129" s="29"/>
      <c r="E129" s="29"/>
      <c r="F129" s="29"/>
      <c r="G129" s="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39"/>
      <c r="S129" s="51"/>
      <c r="T129" s="63"/>
      <c r="U129" s="69"/>
      <c r="V129" s="50"/>
      <c r="W129" s="48"/>
    </row>
    <row r="130" spans="1:23" s="16" customFormat="1" ht="18" customHeight="1">
      <c r="A130" s="46">
        <v>62</v>
      </c>
      <c r="B130" s="64"/>
      <c r="C130" s="26" t="s">
        <v>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38"/>
      <c r="S130" s="51">
        <f t="shared" ref="S130" si="161">COUNTA(D130:R130)</f>
        <v>0</v>
      </c>
      <c r="T130" s="63"/>
      <c r="U130" s="69"/>
      <c r="V130" s="50">
        <f t="shared" ref="V130" si="162">S130-T130-U130</f>
        <v>0</v>
      </c>
      <c r="W130" s="47" t="e">
        <f t="shared" ref="W130" si="163">V130/S130</f>
        <v>#DIV/0!</v>
      </c>
    </row>
    <row r="131" spans="1:23" s="16" customFormat="1" ht="18" customHeight="1">
      <c r="A131" s="46"/>
      <c r="B131" s="64"/>
      <c r="C131" s="26" t="s">
        <v>1</v>
      </c>
      <c r="D131" s="29"/>
      <c r="E131" s="29"/>
      <c r="F131" s="29"/>
      <c r="G131" s="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39"/>
      <c r="S131" s="51"/>
      <c r="T131" s="63"/>
      <c r="U131" s="69"/>
      <c r="V131" s="50"/>
      <c r="W131" s="48"/>
    </row>
    <row r="132" spans="1:23" s="16" customFormat="1" ht="18" customHeight="1">
      <c r="A132" s="46">
        <v>63</v>
      </c>
      <c r="B132" s="64"/>
      <c r="C132" s="26" t="s">
        <v>0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38"/>
      <c r="S132" s="51">
        <f t="shared" ref="S132" si="164">COUNTA(D132:R132)</f>
        <v>0</v>
      </c>
      <c r="T132" s="63"/>
      <c r="U132" s="69"/>
      <c r="V132" s="50">
        <f t="shared" ref="V132" si="165">S132-T132-U132</f>
        <v>0</v>
      </c>
      <c r="W132" s="47" t="e">
        <f t="shared" ref="W132" si="166">V132/S132</f>
        <v>#DIV/0!</v>
      </c>
    </row>
    <row r="133" spans="1:23" s="16" customFormat="1" ht="18" customHeight="1">
      <c r="A133" s="46"/>
      <c r="B133" s="64"/>
      <c r="C133" s="26" t="s">
        <v>1</v>
      </c>
      <c r="D133" s="29"/>
      <c r="E133" s="29"/>
      <c r="F133" s="29"/>
      <c r="G133" s="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39"/>
      <c r="S133" s="51"/>
      <c r="T133" s="63"/>
      <c r="U133" s="69"/>
      <c r="V133" s="50"/>
      <c r="W133" s="48"/>
    </row>
    <row r="134" spans="1:23" s="16" customFormat="1" ht="18" customHeight="1">
      <c r="A134" s="46">
        <v>64</v>
      </c>
      <c r="B134" s="64"/>
      <c r="C134" s="26" t="s">
        <v>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38"/>
      <c r="S134" s="51">
        <f t="shared" ref="S134" si="167">COUNTA(D134:R134)</f>
        <v>0</v>
      </c>
      <c r="T134" s="63"/>
      <c r="U134" s="69"/>
      <c r="V134" s="50">
        <f t="shared" ref="V134" si="168">S134-T134-U134</f>
        <v>0</v>
      </c>
      <c r="W134" s="47" t="e">
        <f t="shared" ref="W134" si="169">V134/S134</f>
        <v>#DIV/0!</v>
      </c>
    </row>
    <row r="135" spans="1:23" s="16" customFormat="1" ht="18" customHeight="1">
      <c r="A135" s="46"/>
      <c r="B135" s="64"/>
      <c r="C135" s="26" t="s">
        <v>1</v>
      </c>
      <c r="D135" s="29"/>
      <c r="E135" s="29"/>
      <c r="F135" s="29"/>
      <c r="G135" s="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39"/>
      <c r="S135" s="51"/>
      <c r="T135" s="63"/>
      <c r="U135" s="69"/>
      <c r="V135" s="50"/>
      <c r="W135" s="48"/>
    </row>
    <row r="136" spans="1:23" s="16" customFormat="1" ht="18" customHeight="1">
      <c r="A136" s="46">
        <v>65</v>
      </c>
      <c r="B136" s="64"/>
      <c r="C136" s="26" t="s">
        <v>0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38"/>
      <c r="S136" s="51">
        <f t="shared" ref="S136" si="170">COUNTA(D136:R136)</f>
        <v>0</v>
      </c>
      <c r="T136" s="63"/>
      <c r="U136" s="69"/>
      <c r="V136" s="50">
        <f t="shared" ref="V136" si="171">S136-T136-U136</f>
        <v>0</v>
      </c>
      <c r="W136" s="47" t="e">
        <f t="shared" ref="W136" si="172">V136/S136</f>
        <v>#DIV/0!</v>
      </c>
    </row>
    <row r="137" spans="1:23" s="16" customFormat="1" ht="18" customHeight="1">
      <c r="A137" s="46"/>
      <c r="B137" s="64"/>
      <c r="C137" s="26" t="s">
        <v>1</v>
      </c>
      <c r="D137" s="29"/>
      <c r="E137" s="29"/>
      <c r="F137" s="29"/>
      <c r="G137" s="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39"/>
      <c r="S137" s="51"/>
      <c r="T137" s="63"/>
      <c r="U137" s="69"/>
      <c r="V137" s="50"/>
      <c r="W137" s="48"/>
    </row>
    <row r="138" spans="1:23" s="16" customFormat="1" ht="18" customHeight="1">
      <c r="A138" s="46">
        <v>66</v>
      </c>
      <c r="B138" s="64"/>
      <c r="C138" s="26" t="s">
        <v>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38"/>
      <c r="S138" s="51">
        <f t="shared" ref="S138" si="173">COUNTA(D138:R138)</f>
        <v>0</v>
      </c>
      <c r="T138" s="63"/>
      <c r="U138" s="69"/>
      <c r="V138" s="50">
        <f t="shared" ref="V138" si="174">S138-T138-U138</f>
        <v>0</v>
      </c>
      <c r="W138" s="47" t="e">
        <f t="shared" ref="W138" si="175">V138/S138</f>
        <v>#DIV/0!</v>
      </c>
    </row>
    <row r="139" spans="1:23" s="16" customFormat="1" ht="18" customHeight="1">
      <c r="A139" s="46"/>
      <c r="B139" s="64"/>
      <c r="C139" s="26" t="s">
        <v>1</v>
      </c>
      <c r="D139" s="29"/>
      <c r="E139" s="29"/>
      <c r="F139" s="29"/>
      <c r="G139" s="29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39"/>
      <c r="S139" s="51"/>
      <c r="T139" s="63"/>
      <c r="U139" s="69"/>
      <c r="V139" s="50"/>
      <c r="W139" s="48"/>
    </row>
    <row r="140" spans="1:23" s="16" customFormat="1" ht="18" customHeight="1">
      <c r="A140" s="46">
        <v>67</v>
      </c>
      <c r="B140" s="64"/>
      <c r="C140" s="26" t="s">
        <v>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38"/>
      <c r="S140" s="51">
        <f t="shared" ref="S140" si="176">COUNTA(D140:R140)</f>
        <v>0</v>
      </c>
      <c r="T140" s="63"/>
      <c r="U140" s="69"/>
      <c r="V140" s="50">
        <f t="shared" ref="V140" si="177">S140-T140-U140</f>
        <v>0</v>
      </c>
      <c r="W140" s="47" t="e">
        <f t="shared" ref="W140" si="178">V140/S140</f>
        <v>#DIV/0!</v>
      </c>
    </row>
    <row r="141" spans="1:23" s="16" customFormat="1" ht="18" customHeight="1">
      <c r="A141" s="46"/>
      <c r="B141" s="64"/>
      <c r="C141" s="26" t="s">
        <v>1</v>
      </c>
      <c r="D141" s="29"/>
      <c r="E141" s="29"/>
      <c r="F141" s="29"/>
      <c r="G141" s="29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39"/>
      <c r="S141" s="51"/>
      <c r="T141" s="63"/>
      <c r="U141" s="69"/>
      <c r="V141" s="50"/>
      <c r="W141" s="48"/>
    </row>
    <row r="142" spans="1:23" s="16" customFormat="1" ht="18" customHeight="1">
      <c r="A142" s="46">
        <v>68</v>
      </c>
      <c r="B142" s="64"/>
      <c r="C142" s="26" t="s">
        <v>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38"/>
      <c r="S142" s="51">
        <f t="shared" ref="S142" si="179">COUNTA(D142:R142)</f>
        <v>0</v>
      </c>
      <c r="T142" s="63"/>
      <c r="U142" s="69"/>
      <c r="V142" s="50">
        <f t="shared" ref="V142" si="180">S142-T142-U142</f>
        <v>0</v>
      </c>
      <c r="W142" s="47" t="e">
        <f t="shared" ref="W142" si="181">V142/S142</f>
        <v>#DIV/0!</v>
      </c>
    </row>
    <row r="143" spans="1:23" s="16" customFormat="1" ht="18" customHeight="1">
      <c r="A143" s="46"/>
      <c r="B143" s="64"/>
      <c r="C143" s="26" t="s">
        <v>1</v>
      </c>
      <c r="D143" s="29"/>
      <c r="E143" s="29"/>
      <c r="F143" s="29"/>
      <c r="G143" s="29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39"/>
      <c r="S143" s="51"/>
      <c r="T143" s="63"/>
      <c r="U143" s="69"/>
      <c r="V143" s="50"/>
      <c r="W143" s="48"/>
    </row>
    <row r="144" spans="1:23" s="16" customFormat="1" ht="18" customHeight="1">
      <c r="A144" s="46">
        <v>69</v>
      </c>
      <c r="B144" s="64"/>
      <c r="C144" s="26" t="s">
        <v>0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38"/>
      <c r="S144" s="51">
        <f t="shared" ref="S144" si="182">COUNTA(D144:R144)</f>
        <v>0</v>
      </c>
      <c r="T144" s="63"/>
      <c r="U144" s="69"/>
      <c r="V144" s="50">
        <f t="shared" ref="V144" si="183">S144-T144-U144</f>
        <v>0</v>
      </c>
      <c r="W144" s="47" t="e">
        <f t="shared" ref="W144" si="184">V144/S144</f>
        <v>#DIV/0!</v>
      </c>
    </row>
    <row r="145" spans="1:23" s="16" customFormat="1" ht="18" customHeight="1">
      <c r="A145" s="46"/>
      <c r="B145" s="64"/>
      <c r="C145" s="26" t="s">
        <v>1</v>
      </c>
      <c r="D145" s="29"/>
      <c r="E145" s="29"/>
      <c r="F145" s="29"/>
      <c r="G145" s="29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39"/>
      <c r="S145" s="51"/>
      <c r="T145" s="63"/>
      <c r="U145" s="69"/>
      <c r="V145" s="50"/>
      <c r="W145" s="48"/>
    </row>
    <row r="146" spans="1:23" s="16" customFormat="1" ht="18" customHeight="1">
      <c r="A146" s="46">
        <v>70</v>
      </c>
      <c r="B146" s="64"/>
      <c r="C146" s="26" t="s">
        <v>0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38"/>
      <c r="S146" s="51">
        <f t="shared" ref="S146" si="185">COUNTA(D146:R146)</f>
        <v>0</v>
      </c>
      <c r="T146" s="63"/>
      <c r="U146" s="69"/>
      <c r="V146" s="50">
        <f t="shared" ref="V146" si="186">S146-T146-U146</f>
        <v>0</v>
      </c>
      <c r="W146" s="47" t="e">
        <f t="shared" ref="W146" si="187">V146/S146</f>
        <v>#DIV/0!</v>
      </c>
    </row>
    <row r="147" spans="1:23" s="16" customFormat="1" ht="18" customHeight="1">
      <c r="A147" s="46"/>
      <c r="B147" s="64"/>
      <c r="C147" s="26" t="s">
        <v>1</v>
      </c>
      <c r="D147" s="29"/>
      <c r="E147" s="29"/>
      <c r="F147" s="29"/>
      <c r="G147" s="29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39"/>
      <c r="S147" s="51"/>
      <c r="T147" s="63"/>
      <c r="U147" s="69"/>
      <c r="V147" s="50"/>
      <c r="W147" s="48"/>
    </row>
    <row r="148" spans="1:23" s="16" customFormat="1" ht="18" customHeight="1">
      <c r="A148" s="46">
        <v>71</v>
      </c>
      <c r="B148" s="64"/>
      <c r="C148" s="26" t="s">
        <v>0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38"/>
      <c r="S148" s="51">
        <f t="shared" ref="S148" si="188">COUNTA(D148:R148)</f>
        <v>0</v>
      </c>
      <c r="T148" s="63"/>
      <c r="U148" s="69"/>
      <c r="V148" s="50">
        <f t="shared" ref="V148" si="189">S148-T148-U148</f>
        <v>0</v>
      </c>
      <c r="W148" s="47" t="e">
        <f t="shared" ref="W148" si="190">V148/S148</f>
        <v>#DIV/0!</v>
      </c>
    </row>
    <row r="149" spans="1:23" s="16" customFormat="1" ht="18" customHeight="1">
      <c r="A149" s="46"/>
      <c r="B149" s="64"/>
      <c r="C149" s="26" t="s">
        <v>1</v>
      </c>
      <c r="D149" s="29"/>
      <c r="E149" s="29"/>
      <c r="F149" s="29"/>
      <c r="G149" s="29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39"/>
      <c r="S149" s="51"/>
      <c r="T149" s="63"/>
      <c r="U149" s="69"/>
      <c r="V149" s="50"/>
      <c r="W149" s="48"/>
    </row>
    <row r="150" spans="1:23" s="16" customFormat="1" ht="18" customHeight="1">
      <c r="A150" s="46">
        <v>72</v>
      </c>
      <c r="B150" s="64"/>
      <c r="C150" s="26" t="s">
        <v>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38"/>
      <c r="S150" s="51">
        <f t="shared" ref="S150" si="191">COUNTA(D150:R150)</f>
        <v>0</v>
      </c>
      <c r="T150" s="63"/>
      <c r="U150" s="69"/>
      <c r="V150" s="50">
        <f t="shared" ref="V150" si="192">S150-T150-U150</f>
        <v>0</v>
      </c>
      <c r="W150" s="47" t="e">
        <f t="shared" ref="W150" si="193">V150/S150</f>
        <v>#DIV/0!</v>
      </c>
    </row>
    <row r="151" spans="1:23" s="16" customFormat="1" ht="18" customHeight="1">
      <c r="A151" s="46"/>
      <c r="B151" s="64"/>
      <c r="C151" s="26" t="s">
        <v>1</v>
      </c>
      <c r="D151" s="29"/>
      <c r="E151" s="29"/>
      <c r="F151" s="29"/>
      <c r="G151" s="29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39"/>
      <c r="S151" s="51"/>
      <c r="T151" s="63"/>
      <c r="U151" s="69"/>
      <c r="V151" s="50"/>
      <c r="W151" s="48"/>
    </row>
    <row r="152" spans="1:23" s="16" customFormat="1" ht="18" customHeight="1">
      <c r="A152" s="46">
        <v>73</v>
      </c>
      <c r="B152" s="64"/>
      <c r="C152" s="26" t="s">
        <v>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38"/>
      <c r="S152" s="51">
        <f t="shared" ref="S152" si="194">COUNTA(D152:R152)</f>
        <v>0</v>
      </c>
      <c r="T152" s="63"/>
      <c r="U152" s="69"/>
      <c r="V152" s="50">
        <f t="shared" ref="V152" si="195">S152-T152-U152</f>
        <v>0</v>
      </c>
      <c r="W152" s="47" t="e">
        <f t="shared" ref="W152" si="196">V152/S152</f>
        <v>#DIV/0!</v>
      </c>
    </row>
    <row r="153" spans="1:23" s="16" customFormat="1" ht="18" customHeight="1">
      <c r="A153" s="46"/>
      <c r="B153" s="64"/>
      <c r="C153" s="26" t="s">
        <v>1</v>
      </c>
      <c r="D153" s="29"/>
      <c r="E153" s="29"/>
      <c r="F153" s="29"/>
      <c r="G153" s="29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39"/>
      <c r="S153" s="51"/>
      <c r="T153" s="63"/>
      <c r="U153" s="69"/>
      <c r="V153" s="50"/>
      <c r="W153" s="48"/>
    </row>
    <row r="154" spans="1:23" s="16" customFormat="1" ht="18" customHeight="1">
      <c r="A154" s="46">
        <v>74</v>
      </c>
      <c r="B154" s="64"/>
      <c r="C154" s="26" t="s">
        <v>0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38"/>
      <c r="S154" s="51">
        <f t="shared" ref="S154" si="197">COUNTA(D154:R154)</f>
        <v>0</v>
      </c>
      <c r="T154" s="63"/>
      <c r="U154" s="69"/>
      <c r="V154" s="50">
        <f t="shared" ref="V154" si="198">S154-T154-U154</f>
        <v>0</v>
      </c>
      <c r="W154" s="47" t="e">
        <f t="shared" ref="W154" si="199">V154/S154</f>
        <v>#DIV/0!</v>
      </c>
    </row>
    <row r="155" spans="1:23" s="16" customFormat="1" ht="18" customHeight="1">
      <c r="A155" s="46"/>
      <c r="B155" s="64"/>
      <c r="C155" s="26" t="s">
        <v>1</v>
      </c>
      <c r="D155" s="29"/>
      <c r="E155" s="29"/>
      <c r="F155" s="29"/>
      <c r="G155" s="29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39"/>
      <c r="S155" s="51"/>
      <c r="T155" s="63"/>
      <c r="U155" s="69"/>
      <c r="V155" s="50"/>
      <c r="W155" s="48"/>
    </row>
    <row r="156" spans="1:23" s="16" customFormat="1" ht="18" customHeight="1">
      <c r="A156" s="46">
        <v>75</v>
      </c>
      <c r="B156" s="64"/>
      <c r="C156" s="26" t="s">
        <v>0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38"/>
      <c r="S156" s="51">
        <f t="shared" ref="S156" si="200">COUNTA(D156:R156)</f>
        <v>0</v>
      </c>
      <c r="T156" s="63"/>
      <c r="U156" s="69"/>
      <c r="V156" s="50">
        <f t="shared" ref="V156" si="201">S156-T156-U156</f>
        <v>0</v>
      </c>
      <c r="W156" s="47" t="e">
        <f t="shared" ref="W156" si="202">V156/S156</f>
        <v>#DIV/0!</v>
      </c>
    </row>
    <row r="157" spans="1:23" s="16" customFormat="1" ht="18" customHeight="1">
      <c r="A157" s="46"/>
      <c r="B157" s="64"/>
      <c r="C157" s="26" t="s">
        <v>1</v>
      </c>
      <c r="D157" s="29"/>
      <c r="E157" s="29"/>
      <c r="F157" s="29"/>
      <c r="G157" s="29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39"/>
      <c r="S157" s="51"/>
      <c r="T157" s="63"/>
      <c r="U157" s="69"/>
      <c r="V157" s="50"/>
      <c r="W157" s="48"/>
    </row>
    <row r="158" spans="1:23" s="16" customFormat="1" ht="18" customHeight="1">
      <c r="A158" s="46">
        <v>76</v>
      </c>
      <c r="B158" s="64"/>
      <c r="C158" s="26" t="s">
        <v>0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38"/>
      <c r="S158" s="51">
        <f t="shared" ref="S158" si="203">COUNTA(D158:R158)</f>
        <v>0</v>
      </c>
      <c r="T158" s="63"/>
      <c r="U158" s="69"/>
      <c r="V158" s="50">
        <f t="shared" ref="V158" si="204">S158-T158-U158</f>
        <v>0</v>
      </c>
      <c r="W158" s="47" t="e">
        <f t="shared" ref="W158" si="205">V158/S158</f>
        <v>#DIV/0!</v>
      </c>
    </row>
    <row r="159" spans="1:23" s="16" customFormat="1" ht="18" customHeight="1">
      <c r="A159" s="46"/>
      <c r="B159" s="64"/>
      <c r="C159" s="26" t="s">
        <v>1</v>
      </c>
      <c r="D159" s="29"/>
      <c r="E159" s="29"/>
      <c r="F159" s="29"/>
      <c r="G159" s="29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39"/>
      <c r="S159" s="51"/>
      <c r="T159" s="63"/>
      <c r="U159" s="69"/>
      <c r="V159" s="50"/>
      <c r="W159" s="48"/>
    </row>
    <row r="160" spans="1:23" s="16" customFormat="1" ht="18" customHeight="1">
      <c r="A160" s="46">
        <v>77</v>
      </c>
      <c r="B160" s="64"/>
      <c r="C160" s="26" t="s">
        <v>0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38"/>
      <c r="S160" s="51">
        <f t="shared" ref="S160" si="206">COUNTA(D160:R160)</f>
        <v>0</v>
      </c>
      <c r="T160" s="63"/>
      <c r="U160" s="69"/>
      <c r="V160" s="50">
        <f t="shared" ref="V160" si="207">S160-T160-U160</f>
        <v>0</v>
      </c>
      <c r="W160" s="47" t="e">
        <f t="shared" ref="W160" si="208">V160/S160</f>
        <v>#DIV/0!</v>
      </c>
    </row>
    <row r="161" spans="1:23" s="16" customFormat="1" ht="18" customHeight="1">
      <c r="A161" s="46"/>
      <c r="B161" s="64"/>
      <c r="C161" s="26" t="s">
        <v>1</v>
      </c>
      <c r="D161" s="29"/>
      <c r="E161" s="29"/>
      <c r="F161" s="29"/>
      <c r="G161" s="29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39"/>
      <c r="S161" s="51"/>
      <c r="T161" s="63"/>
      <c r="U161" s="69"/>
      <c r="V161" s="50"/>
      <c r="W161" s="48"/>
    </row>
    <row r="162" spans="1:23" s="16" customFormat="1" ht="18" customHeight="1">
      <c r="A162" s="46">
        <v>78</v>
      </c>
      <c r="B162" s="64"/>
      <c r="C162" s="26" t="s">
        <v>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38"/>
      <c r="S162" s="51">
        <f t="shared" ref="S162" si="209">COUNTA(D162:R162)</f>
        <v>0</v>
      </c>
      <c r="T162" s="63"/>
      <c r="U162" s="69"/>
      <c r="V162" s="50">
        <f t="shared" ref="V162" si="210">S162-T162-U162</f>
        <v>0</v>
      </c>
      <c r="W162" s="47" t="e">
        <f t="shared" ref="W162" si="211">V162/S162</f>
        <v>#DIV/0!</v>
      </c>
    </row>
    <row r="163" spans="1:23" s="16" customFormat="1" ht="18" customHeight="1">
      <c r="A163" s="46"/>
      <c r="B163" s="64"/>
      <c r="C163" s="26" t="s">
        <v>1</v>
      </c>
      <c r="D163" s="29"/>
      <c r="E163" s="29"/>
      <c r="F163" s="29"/>
      <c r="G163" s="29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39"/>
      <c r="S163" s="51"/>
      <c r="T163" s="63"/>
      <c r="U163" s="69"/>
      <c r="V163" s="50"/>
      <c r="W163" s="48"/>
    </row>
    <row r="164" spans="1:23" s="16" customFormat="1" ht="18" customHeight="1">
      <c r="A164" s="46">
        <v>79</v>
      </c>
      <c r="B164" s="64"/>
      <c r="C164" s="26" t="s">
        <v>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38"/>
      <c r="S164" s="51">
        <f t="shared" ref="S164" si="212">COUNTA(D164:R164)</f>
        <v>0</v>
      </c>
      <c r="T164" s="63"/>
      <c r="U164" s="69"/>
      <c r="V164" s="50">
        <f t="shared" ref="V164" si="213">S164-T164-U164</f>
        <v>0</v>
      </c>
      <c r="W164" s="47" t="e">
        <f t="shared" ref="W164" si="214">V164/S164</f>
        <v>#DIV/0!</v>
      </c>
    </row>
    <row r="165" spans="1:23" s="16" customFormat="1" ht="18" customHeight="1">
      <c r="A165" s="46"/>
      <c r="B165" s="64"/>
      <c r="C165" s="26" t="s">
        <v>1</v>
      </c>
      <c r="D165" s="29"/>
      <c r="E165" s="29"/>
      <c r="F165" s="29"/>
      <c r="G165" s="29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39"/>
      <c r="S165" s="51"/>
      <c r="T165" s="63"/>
      <c r="U165" s="69"/>
      <c r="V165" s="50"/>
      <c r="W165" s="48"/>
    </row>
    <row r="166" spans="1:23" s="16" customFormat="1" ht="18" customHeight="1">
      <c r="A166" s="46">
        <v>80</v>
      </c>
      <c r="B166" s="64"/>
      <c r="C166" s="26" t="s">
        <v>0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38"/>
      <c r="S166" s="51">
        <f t="shared" ref="S166" si="215">COUNTA(D166:R166)</f>
        <v>0</v>
      </c>
      <c r="T166" s="63"/>
      <c r="U166" s="69"/>
      <c r="V166" s="50">
        <f t="shared" ref="V166" si="216">S166-T166-U166</f>
        <v>0</v>
      </c>
      <c r="W166" s="47" t="e">
        <f t="shared" ref="W166" si="217">V166/S166</f>
        <v>#DIV/0!</v>
      </c>
    </row>
    <row r="167" spans="1:23" s="16" customFormat="1" ht="18" customHeight="1">
      <c r="A167" s="46"/>
      <c r="B167" s="64"/>
      <c r="C167" s="26" t="s">
        <v>1</v>
      </c>
      <c r="D167" s="29"/>
      <c r="E167" s="29"/>
      <c r="F167" s="29"/>
      <c r="G167" s="29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39"/>
      <c r="S167" s="51"/>
      <c r="T167" s="63"/>
      <c r="U167" s="69"/>
      <c r="V167" s="50"/>
      <c r="W167" s="48"/>
    </row>
    <row r="168" spans="1:23" s="16" customFormat="1" ht="18" customHeight="1">
      <c r="A168" s="46">
        <v>81</v>
      </c>
      <c r="B168" s="64"/>
      <c r="C168" s="26" t="s">
        <v>0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38"/>
      <c r="S168" s="51">
        <f t="shared" ref="S168" si="218">COUNTA(D168:R168)</f>
        <v>0</v>
      </c>
      <c r="T168" s="63"/>
      <c r="U168" s="69"/>
      <c r="V168" s="50">
        <f t="shared" ref="V168" si="219">S168-T168-U168</f>
        <v>0</v>
      </c>
      <c r="W168" s="47" t="e">
        <f t="shared" ref="W168" si="220">V168/S168</f>
        <v>#DIV/0!</v>
      </c>
    </row>
    <row r="169" spans="1:23" s="16" customFormat="1" ht="18" customHeight="1">
      <c r="A169" s="46"/>
      <c r="B169" s="64"/>
      <c r="C169" s="26" t="s">
        <v>1</v>
      </c>
      <c r="D169" s="29"/>
      <c r="E169" s="29"/>
      <c r="F169" s="29"/>
      <c r="G169" s="29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39"/>
      <c r="S169" s="51"/>
      <c r="T169" s="63"/>
      <c r="U169" s="69"/>
      <c r="V169" s="50"/>
      <c r="W169" s="48"/>
    </row>
    <row r="170" spans="1:23" s="16" customFormat="1" ht="18" customHeight="1">
      <c r="A170" s="46">
        <v>82</v>
      </c>
      <c r="B170" s="64"/>
      <c r="C170" s="26" t="s">
        <v>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38"/>
      <c r="S170" s="51">
        <f t="shared" ref="S170" si="221">COUNTA(D170:R170)</f>
        <v>0</v>
      </c>
      <c r="T170" s="63"/>
      <c r="U170" s="69"/>
      <c r="V170" s="50">
        <f t="shared" ref="V170" si="222">S170-T170-U170</f>
        <v>0</v>
      </c>
      <c r="W170" s="47" t="e">
        <f t="shared" ref="W170" si="223">V170/S170</f>
        <v>#DIV/0!</v>
      </c>
    </row>
    <row r="171" spans="1:23" s="16" customFormat="1" ht="18" customHeight="1">
      <c r="A171" s="46"/>
      <c r="B171" s="64"/>
      <c r="C171" s="26" t="s">
        <v>1</v>
      </c>
      <c r="D171" s="29"/>
      <c r="E171" s="29"/>
      <c r="F171" s="29"/>
      <c r="G171" s="29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39"/>
      <c r="S171" s="51"/>
      <c r="T171" s="63"/>
      <c r="U171" s="69"/>
      <c r="V171" s="50"/>
      <c r="W171" s="48"/>
    </row>
    <row r="172" spans="1:23" s="16" customFormat="1" ht="18" customHeight="1">
      <c r="A172" s="46">
        <v>83</v>
      </c>
      <c r="B172" s="64"/>
      <c r="C172" s="26" t="s">
        <v>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38"/>
      <c r="S172" s="51">
        <f t="shared" ref="S172" si="224">COUNTA(D172:R172)</f>
        <v>0</v>
      </c>
      <c r="T172" s="63"/>
      <c r="U172" s="69"/>
      <c r="V172" s="50">
        <f t="shared" ref="V172" si="225">S172-T172-U172</f>
        <v>0</v>
      </c>
      <c r="W172" s="47" t="e">
        <f t="shared" ref="W172" si="226">V172/S172</f>
        <v>#DIV/0!</v>
      </c>
    </row>
    <row r="173" spans="1:23" s="16" customFormat="1" ht="18" customHeight="1">
      <c r="A173" s="46"/>
      <c r="B173" s="64"/>
      <c r="C173" s="26" t="s">
        <v>1</v>
      </c>
      <c r="D173" s="29"/>
      <c r="E173" s="29"/>
      <c r="F173" s="29"/>
      <c r="G173" s="29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39"/>
      <c r="S173" s="51"/>
      <c r="T173" s="63"/>
      <c r="U173" s="69"/>
      <c r="V173" s="50"/>
      <c r="W173" s="48"/>
    </row>
    <row r="174" spans="1:23" s="16" customFormat="1" ht="18" customHeight="1">
      <c r="A174" s="46">
        <v>84</v>
      </c>
      <c r="B174" s="64"/>
      <c r="C174" s="26" t="s">
        <v>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38"/>
      <c r="S174" s="51">
        <f t="shared" ref="S174" si="227">COUNTA(D174:R174)</f>
        <v>0</v>
      </c>
      <c r="T174" s="63"/>
      <c r="U174" s="69"/>
      <c r="V174" s="50">
        <f t="shared" ref="V174:V182" si="228">S174-T174-U174</f>
        <v>0</v>
      </c>
      <c r="W174" s="47" t="e">
        <f t="shared" ref="W174" si="229">V174/S174</f>
        <v>#DIV/0!</v>
      </c>
    </row>
    <row r="175" spans="1:23" s="16" customFormat="1" ht="18" customHeight="1">
      <c r="A175" s="46"/>
      <c r="B175" s="64"/>
      <c r="C175" s="26" t="s">
        <v>1</v>
      </c>
      <c r="D175" s="29"/>
      <c r="E175" s="29"/>
      <c r="F175" s="29"/>
      <c r="G175" s="29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39"/>
      <c r="S175" s="51"/>
      <c r="T175" s="63"/>
      <c r="U175" s="69"/>
      <c r="V175" s="50"/>
      <c r="W175" s="48"/>
    </row>
    <row r="176" spans="1:23" s="16" customFormat="1" ht="18" customHeight="1">
      <c r="A176" s="46">
        <v>85</v>
      </c>
      <c r="B176" s="64"/>
      <c r="C176" s="26" t="s">
        <v>0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38"/>
      <c r="S176" s="51">
        <f t="shared" ref="S176" si="230">COUNTA(D176:R176)</f>
        <v>0</v>
      </c>
      <c r="T176" s="63"/>
      <c r="U176" s="69"/>
      <c r="V176" s="50">
        <f t="shared" si="228"/>
        <v>0</v>
      </c>
      <c r="W176" s="47" t="e">
        <f t="shared" ref="W176" si="231">V176/S176</f>
        <v>#DIV/0!</v>
      </c>
    </row>
    <row r="177" spans="1:23" s="16" customFormat="1" ht="18" customHeight="1">
      <c r="A177" s="46"/>
      <c r="B177" s="64"/>
      <c r="C177" s="26" t="s">
        <v>1</v>
      </c>
      <c r="D177" s="29"/>
      <c r="E177" s="29"/>
      <c r="F177" s="29"/>
      <c r="G177" s="29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39"/>
      <c r="S177" s="51"/>
      <c r="T177" s="63"/>
      <c r="U177" s="69"/>
      <c r="V177" s="50"/>
      <c r="W177" s="48"/>
    </row>
    <row r="178" spans="1:23" s="16" customFormat="1" ht="18" customHeight="1">
      <c r="A178" s="46">
        <v>86</v>
      </c>
      <c r="B178" s="64"/>
      <c r="C178" s="26" t="s">
        <v>0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38"/>
      <c r="S178" s="51">
        <f t="shared" ref="S178" si="232">COUNTA(D178:R178)</f>
        <v>0</v>
      </c>
      <c r="T178" s="63"/>
      <c r="U178" s="69"/>
      <c r="V178" s="50">
        <f t="shared" si="228"/>
        <v>0</v>
      </c>
      <c r="W178" s="47" t="e">
        <f t="shared" ref="W178" si="233">V178/S178</f>
        <v>#DIV/0!</v>
      </c>
    </row>
    <row r="179" spans="1:23" s="16" customFormat="1" ht="18" customHeight="1">
      <c r="A179" s="46"/>
      <c r="B179" s="64"/>
      <c r="C179" s="26" t="s">
        <v>1</v>
      </c>
      <c r="D179" s="29"/>
      <c r="E179" s="29"/>
      <c r="F179" s="29"/>
      <c r="G179" s="29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39"/>
      <c r="S179" s="51"/>
      <c r="T179" s="63"/>
      <c r="U179" s="69"/>
      <c r="V179" s="50"/>
      <c r="W179" s="48"/>
    </row>
    <row r="180" spans="1:23" s="16" customFormat="1" ht="18" customHeight="1">
      <c r="A180" s="46">
        <v>87</v>
      </c>
      <c r="B180" s="64"/>
      <c r="C180" s="26" t="s">
        <v>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38"/>
      <c r="S180" s="51">
        <f t="shared" ref="S180" si="234">COUNTA(D180:R180)</f>
        <v>0</v>
      </c>
      <c r="T180" s="63"/>
      <c r="U180" s="69"/>
      <c r="V180" s="50">
        <f t="shared" si="228"/>
        <v>0</v>
      </c>
      <c r="W180" s="47" t="e">
        <f t="shared" ref="W180" si="235">V180/S180</f>
        <v>#DIV/0!</v>
      </c>
    </row>
    <row r="181" spans="1:23" s="16" customFormat="1" ht="18" customHeight="1">
      <c r="A181" s="46"/>
      <c r="B181" s="64"/>
      <c r="C181" s="26" t="s">
        <v>1</v>
      </c>
      <c r="D181" s="29"/>
      <c r="E181" s="29"/>
      <c r="F181" s="29"/>
      <c r="G181" s="29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39"/>
      <c r="S181" s="51"/>
      <c r="T181" s="63"/>
      <c r="U181" s="69"/>
      <c r="V181" s="50"/>
      <c r="W181" s="48"/>
    </row>
    <row r="182" spans="1:23" s="16" customFormat="1" ht="18" customHeight="1">
      <c r="A182" s="46">
        <v>88</v>
      </c>
      <c r="B182" s="64"/>
      <c r="C182" s="26" t="s">
        <v>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38"/>
      <c r="S182" s="51">
        <f t="shared" ref="S182" si="236">COUNTA(D182:R182)</f>
        <v>0</v>
      </c>
      <c r="T182" s="63"/>
      <c r="U182" s="69"/>
      <c r="V182" s="50">
        <f t="shared" si="228"/>
        <v>0</v>
      </c>
      <c r="W182" s="47" t="e">
        <f t="shared" ref="W182" si="237">V182/S182</f>
        <v>#DIV/0!</v>
      </c>
    </row>
    <row r="183" spans="1:23" s="16" customFormat="1" ht="18" customHeight="1">
      <c r="A183" s="46"/>
      <c r="B183" s="64"/>
      <c r="C183" s="26" t="s">
        <v>1</v>
      </c>
      <c r="D183" s="29"/>
      <c r="E183" s="29"/>
      <c r="F183" s="29"/>
      <c r="G183" s="29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39"/>
      <c r="S183" s="51"/>
      <c r="T183" s="63"/>
      <c r="U183" s="69"/>
      <c r="V183" s="50"/>
      <c r="W183" s="48"/>
    </row>
    <row r="184" spans="1:23" s="16" customFormat="1" ht="18" customHeight="1">
      <c r="A184" s="46">
        <v>89</v>
      </c>
      <c r="B184" s="64"/>
      <c r="C184" s="26" t="s">
        <v>0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38"/>
      <c r="S184" s="51">
        <f t="shared" ref="S184" si="238">COUNTA(D184:R184)</f>
        <v>0</v>
      </c>
      <c r="T184" s="63"/>
      <c r="U184" s="69"/>
      <c r="V184" s="50">
        <f t="shared" ref="V184" si="239">S184-T184-U184</f>
        <v>0</v>
      </c>
      <c r="W184" s="47" t="e">
        <f t="shared" ref="W184" si="240">V184/S184</f>
        <v>#DIV/0!</v>
      </c>
    </row>
    <row r="185" spans="1:23" s="16" customFormat="1" ht="18" customHeight="1">
      <c r="A185" s="46"/>
      <c r="B185" s="64"/>
      <c r="C185" s="26" t="s">
        <v>1</v>
      </c>
      <c r="D185" s="29"/>
      <c r="E185" s="29"/>
      <c r="F185" s="29"/>
      <c r="G185" s="29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39"/>
      <c r="S185" s="51"/>
      <c r="T185" s="63"/>
      <c r="U185" s="69"/>
      <c r="V185" s="50"/>
      <c r="W185" s="48"/>
    </row>
    <row r="186" spans="1:23" s="16" customFormat="1" ht="18" customHeight="1">
      <c r="A186" s="46">
        <v>90</v>
      </c>
      <c r="B186" s="64"/>
      <c r="C186" s="26" t="s">
        <v>0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38"/>
      <c r="S186" s="51">
        <f t="shared" ref="S186" si="241">COUNTA(D186:R186)</f>
        <v>0</v>
      </c>
      <c r="T186" s="63"/>
      <c r="U186" s="69"/>
      <c r="V186" s="50">
        <f t="shared" ref="V186" si="242">S186-T186-U186</f>
        <v>0</v>
      </c>
      <c r="W186" s="47" t="e">
        <f t="shared" ref="W186" si="243">V186/S186</f>
        <v>#DIV/0!</v>
      </c>
    </row>
    <row r="187" spans="1:23" s="16" customFormat="1" ht="18" customHeight="1">
      <c r="A187" s="46"/>
      <c r="B187" s="64"/>
      <c r="C187" s="26" t="s">
        <v>1</v>
      </c>
      <c r="D187" s="29"/>
      <c r="E187" s="29"/>
      <c r="F187" s="29"/>
      <c r="G187" s="29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39"/>
      <c r="S187" s="51"/>
      <c r="T187" s="63"/>
      <c r="U187" s="69"/>
      <c r="V187" s="50"/>
      <c r="W187" s="48"/>
    </row>
    <row r="188" spans="1:23" s="16" customFormat="1" ht="18" customHeight="1">
      <c r="A188" s="46">
        <v>91</v>
      </c>
      <c r="B188" s="64"/>
      <c r="C188" s="26" t="s">
        <v>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38"/>
      <c r="S188" s="51">
        <f t="shared" ref="S188" si="244">COUNTA(D188:R188)</f>
        <v>0</v>
      </c>
      <c r="T188" s="63"/>
      <c r="U188" s="69"/>
      <c r="V188" s="50">
        <f t="shared" ref="V188" si="245">S188-T188-U188</f>
        <v>0</v>
      </c>
      <c r="W188" s="47" t="e">
        <f t="shared" ref="W188" si="246">V188/S188</f>
        <v>#DIV/0!</v>
      </c>
    </row>
    <row r="189" spans="1:23" s="16" customFormat="1" ht="18" customHeight="1">
      <c r="A189" s="46"/>
      <c r="B189" s="64"/>
      <c r="C189" s="26" t="s">
        <v>1</v>
      </c>
      <c r="D189" s="29"/>
      <c r="E189" s="29"/>
      <c r="F189" s="29"/>
      <c r="G189" s="29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39"/>
      <c r="S189" s="51"/>
      <c r="T189" s="63"/>
      <c r="U189" s="69"/>
      <c r="V189" s="50"/>
      <c r="W189" s="48"/>
    </row>
    <row r="190" spans="1:23" s="16" customFormat="1" ht="18" customHeight="1">
      <c r="A190" s="46">
        <v>92</v>
      </c>
      <c r="B190" s="64"/>
      <c r="C190" s="26" t="s">
        <v>0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38"/>
      <c r="S190" s="51">
        <f t="shared" ref="S190" si="247">COUNTA(D190:R190)</f>
        <v>0</v>
      </c>
      <c r="T190" s="63"/>
      <c r="U190" s="69"/>
      <c r="V190" s="50">
        <f t="shared" ref="V190" si="248">S190-T190-U190</f>
        <v>0</v>
      </c>
      <c r="W190" s="47" t="e">
        <f t="shared" ref="W190" si="249">V190/S190</f>
        <v>#DIV/0!</v>
      </c>
    </row>
    <row r="191" spans="1:23" s="16" customFormat="1" ht="18" customHeight="1">
      <c r="A191" s="46"/>
      <c r="B191" s="64"/>
      <c r="C191" s="26" t="s">
        <v>1</v>
      </c>
      <c r="D191" s="29"/>
      <c r="E191" s="29"/>
      <c r="F191" s="29"/>
      <c r="G191" s="29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39"/>
      <c r="S191" s="51"/>
      <c r="T191" s="63"/>
      <c r="U191" s="69"/>
      <c r="V191" s="50"/>
      <c r="W191" s="48"/>
    </row>
    <row r="192" spans="1:23" s="16" customFormat="1" ht="18" customHeight="1">
      <c r="A192" s="46">
        <v>93</v>
      </c>
      <c r="B192" s="64"/>
      <c r="C192" s="26" t="s">
        <v>0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38"/>
      <c r="S192" s="51">
        <f t="shared" ref="S192" si="250">COUNTA(D192:R192)</f>
        <v>0</v>
      </c>
      <c r="T192" s="63"/>
      <c r="U192" s="69"/>
      <c r="V192" s="50">
        <f t="shared" ref="V192" si="251">S192-T192-U192</f>
        <v>0</v>
      </c>
      <c r="W192" s="47" t="e">
        <f t="shared" ref="W192" si="252">V192/S192</f>
        <v>#DIV/0!</v>
      </c>
    </row>
    <row r="193" spans="1:23" s="16" customFormat="1" ht="18" customHeight="1">
      <c r="A193" s="46"/>
      <c r="B193" s="64"/>
      <c r="C193" s="26" t="s">
        <v>1</v>
      </c>
      <c r="D193" s="29"/>
      <c r="E193" s="29"/>
      <c r="F193" s="29"/>
      <c r="G193" s="29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39"/>
      <c r="S193" s="51"/>
      <c r="T193" s="63"/>
      <c r="U193" s="69"/>
      <c r="V193" s="50"/>
      <c r="W193" s="48"/>
    </row>
    <row r="194" spans="1:23" s="16" customFormat="1" ht="18" customHeight="1">
      <c r="A194" s="46">
        <v>94</v>
      </c>
      <c r="B194" s="64"/>
      <c r="C194" s="26" t="s">
        <v>0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38"/>
      <c r="S194" s="51">
        <f t="shared" ref="S194" si="253">COUNTA(D194:R194)</f>
        <v>0</v>
      </c>
      <c r="T194" s="63"/>
      <c r="U194" s="69"/>
      <c r="V194" s="50">
        <f t="shared" ref="V194" si="254">S194-T194-U194</f>
        <v>0</v>
      </c>
      <c r="W194" s="47" t="e">
        <f t="shared" ref="W194" si="255">V194/S194</f>
        <v>#DIV/0!</v>
      </c>
    </row>
    <row r="195" spans="1:23" s="16" customFormat="1" ht="18" customHeight="1">
      <c r="A195" s="46"/>
      <c r="B195" s="64"/>
      <c r="C195" s="26" t="s">
        <v>1</v>
      </c>
      <c r="D195" s="29"/>
      <c r="E195" s="29"/>
      <c r="F195" s="29"/>
      <c r="G195" s="29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39"/>
      <c r="S195" s="51"/>
      <c r="T195" s="63"/>
      <c r="U195" s="69"/>
      <c r="V195" s="50"/>
      <c r="W195" s="48"/>
    </row>
    <row r="196" spans="1:23" s="16" customFormat="1" ht="18" customHeight="1">
      <c r="A196" s="46">
        <v>95</v>
      </c>
      <c r="B196" s="64"/>
      <c r="C196" s="26" t="s">
        <v>0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38"/>
      <c r="S196" s="51">
        <f t="shared" ref="S196" si="256">COUNTA(D196:R196)</f>
        <v>0</v>
      </c>
      <c r="T196" s="63"/>
      <c r="U196" s="69"/>
      <c r="V196" s="50">
        <f>S196-T196-U196</f>
        <v>0</v>
      </c>
      <c r="W196" s="47" t="e">
        <f t="shared" ref="W196" si="257">V196/S196</f>
        <v>#DIV/0!</v>
      </c>
    </row>
    <row r="197" spans="1:23" s="16" customFormat="1" ht="18" customHeight="1">
      <c r="A197" s="46"/>
      <c r="B197" s="64"/>
      <c r="C197" s="26" t="s">
        <v>1</v>
      </c>
      <c r="D197" s="29"/>
      <c r="E197" s="29"/>
      <c r="F197" s="29"/>
      <c r="G197" s="29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39"/>
      <c r="S197" s="51"/>
      <c r="T197" s="63"/>
      <c r="U197" s="69"/>
      <c r="V197" s="50"/>
      <c r="W197" s="48"/>
    </row>
    <row r="198" spans="1:23" s="16" customFormat="1" ht="18" customHeight="1">
      <c r="A198" s="46">
        <v>96</v>
      </c>
      <c r="B198" s="64"/>
      <c r="C198" s="26" t="s">
        <v>0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38"/>
      <c r="S198" s="51">
        <f t="shared" ref="S198" si="258">COUNTA(D198:R198)</f>
        <v>0</v>
      </c>
      <c r="T198" s="63"/>
      <c r="U198" s="69"/>
      <c r="V198" s="50">
        <f t="shared" ref="V198" si="259">S198-T198-U198</f>
        <v>0</v>
      </c>
      <c r="W198" s="47" t="e">
        <f t="shared" ref="W198" si="260">V198/S198</f>
        <v>#DIV/0!</v>
      </c>
    </row>
    <row r="199" spans="1:23" s="16" customFormat="1" ht="18" customHeight="1">
      <c r="A199" s="46"/>
      <c r="B199" s="64"/>
      <c r="C199" s="26" t="s">
        <v>1</v>
      </c>
      <c r="D199" s="29"/>
      <c r="E199" s="29"/>
      <c r="F199" s="29"/>
      <c r="G199" s="29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39"/>
      <c r="S199" s="51"/>
      <c r="T199" s="63"/>
      <c r="U199" s="69"/>
      <c r="V199" s="50"/>
      <c r="W199" s="48"/>
    </row>
    <row r="200" spans="1:23" s="16" customFormat="1" ht="18" customHeight="1">
      <c r="A200" s="46">
        <v>97</v>
      </c>
      <c r="B200" s="64"/>
      <c r="C200" s="26" t="s">
        <v>0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38"/>
      <c r="S200" s="51">
        <f t="shared" ref="S200" si="261">COUNTA(D200:R200)</f>
        <v>0</v>
      </c>
      <c r="T200" s="63"/>
      <c r="U200" s="69"/>
      <c r="V200" s="50">
        <f t="shared" ref="V200" si="262">S200-T200-U200</f>
        <v>0</v>
      </c>
      <c r="W200" s="47" t="e">
        <f t="shared" ref="W200" si="263">V200/S200</f>
        <v>#DIV/0!</v>
      </c>
    </row>
    <row r="201" spans="1:23" s="16" customFormat="1" ht="18" customHeight="1">
      <c r="A201" s="46"/>
      <c r="B201" s="64"/>
      <c r="C201" s="26" t="s">
        <v>1</v>
      </c>
      <c r="D201" s="29"/>
      <c r="E201" s="29"/>
      <c r="F201" s="29"/>
      <c r="G201" s="29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39"/>
      <c r="S201" s="51"/>
      <c r="T201" s="63"/>
      <c r="U201" s="69"/>
      <c r="V201" s="50"/>
      <c r="W201" s="48"/>
    </row>
    <row r="202" spans="1:23" s="16" customFormat="1" ht="18" customHeight="1">
      <c r="A202" s="46">
        <v>98</v>
      </c>
      <c r="B202" s="64"/>
      <c r="C202" s="26" t="s">
        <v>0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38"/>
      <c r="S202" s="51">
        <f t="shared" ref="S202" si="264">COUNTA(D202:R202)</f>
        <v>0</v>
      </c>
      <c r="T202" s="63"/>
      <c r="U202" s="69"/>
      <c r="V202" s="50">
        <f t="shared" ref="V202" si="265">S202-T202-U202</f>
        <v>0</v>
      </c>
      <c r="W202" s="47" t="e">
        <f t="shared" ref="W202" si="266">V202/S202</f>
        <v>#DIV/0!</v>
      </c>
    </row>
    <row r="203" spans="1:23" s="16" customFormat="1" ht="18" customHeight="1">
      <c r="A203" s="46"/>
      <c r="B203" s="64"/>
      <c r="C203" s="26" t="s">
        <v>1</v>
      </c>
      <c r="D203" s="29"/>
      <c r="E203" s="29"/>
      <c r="F203" s="29"/>
      <c r="G203" s="29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39"/>
      <c r="S203" s="51"/>
      <c r="T203" s="63"/>
      <c r="U203" s="69"/>
      <c r="V203" s="50"/>
      <c r="W203" s="48"/>
    </row>
    <row r="204" spans="1:23" s="16" customFormat="1" ht="18" customHeight="1">
      <c r="A204" s="46">
        <v>99</v>
      </c>
      <c r="B204" s="64"/>
      <c r="C204" s="26" t="s">
        <v>0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38"/>
      <c r="S204" s="51">
        <f t="shared" ref="S204" si="267">COUNTA(D204:R204)</f>
        <v>0</v>
      </c>
      <c r="T204" s="63"/>
      <c r="U204" s="69"/>
      <c r="V204" s="50">
        <f t="shared" ref="V204" si="268">S204-T204-U204</f>
        <v>0</v>
      </c>
      <c r="W204" s="47" t="e">
        <f t="shared" ref="W204" si="269">V204/S204</f>
        <v>#DIV/0!</v>
      </c>
    </row>
    <row r="205" spans="1:23" s="16" customFormat="1" ht="18" customHeight="1">
      <c r="A205" s="46"/>
      <c r="B205" s="64"/>
      <c r="C205" s="26" t="s">
        <v>1</v>
      </c>
      <c r="D205" s="29"/>
      <c r="E205" s="29"/>
      <c r="F205" s="29"/>
      <c r="G205" s="29"/>
      <c r="H205" s="29"/>
      <c r="I205" s="29"/>
      <c r="J205" s="28"/>
      <c r="K205" s="28"/>
      <c r="L205" s="28"/>
      <c r="M205" s="28"/>
      <c r="N205" s="28"/>
      <c r="O205" s="28"/>
      <c r="P205" s="28"/>
      <c r="Q205" s="28"/>
      <c r="R205" s="39"/>
      <c r="S205" s="51"/>
      <c r="T205" s="63"/>
      <c r="U205" s="69"/>
      <c r="V205" s="50"/>
      <c r="W205" s="48"/>
    </row>
    <row r="206" spans="1:23" s="16" customFormat="1" ht="18" customHeight="1">
      <c r="A206" s="46">
        <v>100</v>
      </c>
      <c r="B206" s="64"/>
      <c r="C206" s="26" t="s">
        <v>0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38"/>
      <c r="S206" s="51">
        <f t="shared" ref="S206" si="270">COUNTA(D206:R206)</f>
        <v>0</v>
      </c>
      <c r="T206" s="63"/>
      <c r="U206" s="69"/>
      <c r="V206" s="50">
        <f t="shared" ref="V206" si="271">S206-T206-U206</f>
        <v>0</v>
      </c>
      <c r="W206" s="47" t="e">
        <f t="shared" ref="W206" si="272">V206/S206</f>
        <v>#DIV/0!</v>
      </c>
    </row>
    <row r="207" spans="1:23" s="16" customFormat="1" ht="18" customHeight="1">
      <c r="A207" s="46"/>
      <c r="B207" s="64"/>
      <c r="C207" s="26" t="s">
        <v>1</v>
      </c>
      <c r="D207" s="29"/>
      <c r="E207" s="29"/>
      <c r="F207" s="29"/>
      <c r="G207" s="29"/>
      <c r="H207" s="29"/>
      <c r="I207" s="29"/>
      <c r="J207" s="28"/>
      <c r="K207" s="28"/>
      <c r="L207" s="28"/>
      <c r="M207" s="28"/>
      <c r="N207" s="28"/>
      <c r="O207" s="28"/>
      <c r="P207" s="28"/>
      <c r="Q207" s="28"/>
      <c r="R207" s="39"/>
      <c r="S207" s="51"/>
      <c r="T207" s="63"/>
      <c r="U207" s="69"/>
      <c r="V207" s="50"/>
      <c r="W207" s="48"/>
    </row>
    <row r="208" spans="1:23" s="16" customFormat="1" ht="17.600000000000001" thickBot="1">
      <c r="A208" s="22"/>
      <c r="B208" s="65" t="s">
        <v>13</v>
      </c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6"/>
      <c r="S208" s="41">
        <f>SUM(S8:S99)</f>
        <v>28</v>
      </c>
      <c r="T208" s="23">
        <f>SUM(T8:T99)</f>
        <v>1</v>
      </c>
      <c r="U208" s="23">
        <f>SUM(U8:U99)</f>
        <v>3</v>
      </c>
      <c r="V208" s="23">
        <f>S208-T208-U208</f>
        <v>24</v>
      </c>
      <c r="W208" s="24">
        <f>V208/S208</f>
        <v>0.8571428571428571</v>
      </c>
    </row>
    <row r="210" spans="18:24">
      <c r="T210" s="3"/>
      <c r="U210" s="32" t="s">
        <v>22</v>
      </c>
      <c r="V210" s="34"/>
      <c r="W210" s="33" t="s">
        <v>23</v>
      </c>
      <c r="X210" s="16"/>
    </row>
    <row r="211" spans="18:24">
      <c r="T211" s="3"/>
      <c r="U211" s="32" t="s">
        <v>24</v>
      </c>
      <c r="V211" s="25"/>
      <c r="W211" s="33" t="s">
        <v>25</v>
      </c>
    </row>
    <row r="212" spans="18:24">
      <c r="R212" s="2"/>
      <c r="S212" s="2"/>
      <c r="T212" s="3"/>
      <c r="U212" s="32" t="s">
        <v>26</v>
      </c>
      <c r="V212" s="25"/>
      <c r="W212" s="33" t="s">
        <v>27</v>
      </c>
    </row>
    <row r="213" spans="18:24">
      <c r="R213" s="2"/>
      <c r="S213" s="2"/>
      <c r="T213" s="3"/>
      <c r="U213" s="32" t="s">
        <v>28</v>
      </c>
      <c r="V213" s="25"/>
      <c r="W213" s="33" t="s">
        <v>29</v>
      </c>
    </row>
    <row r="214" spans="18:24">
      <c r="R214" s="2"/>
      <c r="S214" s="2"/>
      <c r="T214" s="3"/>
      <c r="U214" s="32" t="s">
        <v>30</v>
      </c>
      <c r="V214" s="25"/>
      <c r="W214" s="33" t="s">
        <v>31</v>
      </c>
    </row>
    <row r="215" spans="18:24">
      <c r="W215" s="35"/>
    </row>
    <row r="216" spans="18:24">
      <c r="W216" s="35"/>
    </row>
  </sheetData>
  <mergeCells count="715">
    <mergeCell ref="X10:X11"/>
    <mergeCell ref="X12:X13"/>
    <mergeCell ref="S206:S207"/>
    <mergeCell ref="T206:T207"/>
    <mergeCell ref="U206:U207"/>
    <mergeCell ref="V206:V207"/>
    <mergeCell ref="W206:W207"/>
    <mergeCell ref="S3:W4"/>
    <mergeCell ref="S202:S203"/>
    <mergeCell ref="T202:T203"/>
    <mergeCell ref="U202:U203"/>
    <mergeCell ref="V202:V203"/>
    <mergeCell ref="W202:W203"/>
    <mergeCell ref="S204:S205"/>
    <mergeCell ref="T204:T205"/>
    <mergeCell ref="U204:U205"/>
    <mergeCell ref="V204:V205"/>
    <mergeCell ref="W204:W205"/>
    <mergeCell ref="S198:S199"/>
    <mergeCell ref="T198:T199"/>
    <mergeCell ref="U198:U199"/>
    <mergeCell ref="V198:V199"/>
    <mergeCell ref="W198:W199"/>
    <mergeCell ref="S200:S201"/>
    <mergeCell ref="T200:T201"/>
    <mergeCell ref="U200:U201"/>
    <mergeCell ref="V200:V201"/>
    <mergeCell ref="W200:W201"/>
    <mergeCell ref="S194:S195"/>
    <mergeCell ref="T194:T195"/>
    <mergeCell ref="U194:U195"/>
    <mergeCell ref="V194:V195"/>
    <mergeCell ref="W194:W195"/>
    <mergeCell ref="S196:S197"/>
    <mergeCell ref="T196:T197"/>
    <mergeCell ref="U196:U197"/>
    <mergeCell ref="V196:V197"/>
    <mergeCell ref="W196:W197"/>
    <mergeCell ref="S190:S191"/>
    <mergeCell ref="T190:T191"/>
    <mergeCell ref="U190:U191"/>
    <mergeCell ref="V190:V191"/>
    <mergeCell ref="W190:W191"/>
    <mergeCell ref="S192:S193"/>
    <mergeCell ref="T192:T193"/>
    <mergeCell ref="U192:U193"/>
    <mergeCell ref="V192:V193"/>
    <mergeCell ref="W192:W193"/>
    <mergeCell ref="S186:S187"/>
    <mergeCell ref="T186:T187"/>
    <mergeCell ref="U186:U187"/>
    <mergeCell ref="V186:V187"/>
    <mergeCell ref="W186:W187"/>
    <mergeCell ref="S188:S189"/>
    <mergeCell ref="T188:T189"/>
    <mergeCell ref="U188:U189"/>
    <mergeCell ref="V188:V189"/>
    <mergeCell ref="W188:W189"/>
    <mergeCell ref="S182:S183"/>
    <mergeCell ref="T182:T183"/>
    <mergeCell ref="U182:U183"/>
    <mergeCell ref="V182:V183"/>
    <mergeCell ref="W182:W183"/>
    <mergeCell ref="S184:S185"/>
    <mergeCell ref="T184:T185"/>
    <mergeCell ref="U184:U185"/>
    <mergeCell ref="V184:V185"/>
    <mergeCell ref="W184:W185"/>
    <mergeCell ref="S178:S179"/>
    <mergeCell ref="T178:T179"/>
    <mergeCell ref="U178:U179"/>
    <mergeCell ref="V178:V179"/>
    <mergeCell ref="W178:W179"/>
    <mergeCell ref="S180:S181"/>
    <mergeCell ref="T180:T181"/>
    <mergeCell ref="U180:U181"/>
    <mergeCell ref="V180:V181"/>
    <mergeCell ref="W180:W181"/>
    <mergeCell ref="S174:S175"/>
    <mergeCell ref="T174:T175"/>
    <mergeCell ref="U174:U175"/>
    <mergeCell ref="V174:V175"/>
    <mergeCell ref="W174:W175"/>
    <mergeCell ref="S176:S177"/>
    <mergeCell ref="T176:T177"/>
    <mergeCell ref="U176:U177"/>
    <mergeCell ref="V176:V177"/>
    <mergeCell ref="W176:W177"/>
    <mergeCell ref="S170:S171"/>
    <mergeCell ref="T170:T171"/>
    <mergeCell ref="U170:U171"/>
    <mergeCell ref="V170:V171"/>
    <mergeCell ref="W170:W171"/>
    <mergeCell ref="S172:S173"/>
    <mergeCell ref="T172:T173"/>
    <mergeCell ref="U172:U173"/>
    <mergeCell ref="V172:V173"/>
    <mergeCell ref="W172:W173"/>
    <mergeCell ref="T166:T167"/>
    <mergeCell ref="U166:U167"/>
    <mergeCell ref="V166:V167"/>
    <mergeCell ref="W166:W167"/>
    <mergeCell ref="S168:S169"/>
    <mergeCell ref="T168:T169"/>
    <mergeCell ref="U168:U169"/>
    <mergeCell ref="V168:V169"/>
    <mergeCell ref="W168:W169"/>
    <mergeCell ref="U160:U161"/>
    <mergeCell ref="V160:V161"/>
    <mergeCell ref="W160:W161"/>
    <mergeCell ref="S162:S163"/>
    <mergeCell ref="T162:T163"/>
    <mergeCell ref="U162:U163"/>
    <mergeCell ref="V162:V163"/>
    <mergeCell ref="W162:W163"/>
    <mergeCell ref="S164:S165"/>
    <mergeCell ref="T164:T165"/>
    <mergeCell ref="U164:U165"/>
    <mergeCell ref="V164:V165"/>
    <mergeCell ref="W164:W165"/>
    <mergeCell ref="U154:U155"/>
    <mergeCell ref="V154:V155"/>
    <mergeCell ref="W154:W155"/>
    <mergeCell ref="S156:S157"/>
    <mergeCell ref="T156:T157"/>
    <mergeCell ref="U156:U157"/>
    <mergeCell ref="V156:V157"/>
    <mergeCell ref="W156:W157"/>
    <mergeCell ref="S158:S159"/>
    <mergeCell ref="T158:T159"/>
    <mergeCell ref="U158:U159"/>
    <mergeCell ref="V158:V159"/>
    <mergeCell ref="W158:W159"/>
    <mergeCell ref="U148:U149"/>
    <mergeCell ref="V148:V149"/>
    <mergeCell ref="W148:W149"/>
    <mergeCell ref="S150:S151"/>
    <mergeCell ref="T150:T151"/>
    <mergeCell ref="U150:U151"/>
    <mergeCell ref="V150:V151"/>
    <mergeCell ref="W150:W151"/>
    <mergeCell ref="S152:S153"/>
    <mergeCell ref="T152:T153"/>
    <mergeCell ref="U152:U153"/>
    <mergeCell ref="V152:V153"/>
    <mergeCell ref="W152:W153"/>
    <mergeCell ref="U142:U143"/>
    <mergeCell ref="V142:V143"/>
    <mergeCell ref="W142:W143"/>
    <mergeCell ref="S144:S145"/>
    <mergeCell ref="T144:T145"/>
    <mergeCell ref="U144:U145"/>
    <mergeCell ref="V144:V145"/>
    <mergeCell ref="W144:W145"/>
    <mergeCell ref="S146:S147"/>
    <mergeCell ref="T146:T147"/>
    <mergeCell ref="U146:U147"/>
    <mergeCell ref="V146:V147"/>
    <mergeCell ref="W146:W147"/>
    <mergeCell ref="U136:U137"/>
    <mergeCell ref="V136:V137"/>
    <mergeCell ref="W136:W137"/>
    <mergeCell ref="S138:S139"/>
    <mergeCell ref="T138:T139"/>
    <mergeCell ref="U138:U139"/>
    <mergeCell ref="V138:V139"/>
    <mergeCell ref="W138:W139"/>
    <mergeCell ref="S140:S141"/>
    <mergeCell ref="T140:T141"/>
    <mergeCell ref="U140:U141"/>
    <mergeCell ref="V140:V141"/>
    <mergeCell ref="W140:W141"/>
    <mergeCell ref="U130:U131"/>
    <mergeCell ref="V130:V131"/>
    <mergeCell ref="W130:W131"/>
    <mergeCell ref="S132:S133"/>
    <mergeCell ref="T132:T133"/>
    <mergeCell ref="U132:U133"/>
    <mergeCell ref="V132:V133"/>
    <mergeCell ref="W132:W133"/>
    <mergeCell ref="S134:S135"/>
    <mergeCell ref="T134:T135"/>
    <mergeCell ref="U134:U135"/>
    <mergeCell ref="V134:V135"/>
    <mergeCell ref="W134:W135"/>
    <mergeCell ref="V124:V125"/>
    <mergeCell ref="W124:W125"/>
    <mergeCell ref="S126:S127"/>
    <mergeCell ref="T126:T127"/>
    <mergeCell ref="U126:U127"/>
    <mergeCell ref="V126:V127"/>
    <mergeCell ref="W126:W127"/>
    <mergeCell ref="S128:S129"/>
    <mergeCell ref="T128:T129"/>
    <mergeCell ref="U128:U129"/>
    <mergeCell ref="V128:V129"/>
    <mergeCell ref="W128:W129"/>
    <mergeCell ref="S124:S125"/>
    <mergeCell ref="T124:T125"/>
    <mergeCell ref="U124:U125"/>
    <mergeCell ref="W118:W119"/>
    <mergeCell ref="S120:S121"/>
    <mergeCell ref="T120:T121"/>
    <mergeCell ref="U120:U121"/>
    <mergeCell ref="V120:V121"/>
    <mergeCell ref="W120:W121"/>
    <mergeCell ref="S122:S123"/>
    <mergeCell ref="T122:T123"/>
    <mergeCell ref="U122:U123"/>
    <mergeCell ref="V122:V123"/>
    <mergeCell ref="W122:W123"/>
    <mergeCell ref="U118:U119"/>
    <mergeCell ref="V118:V119"/>
    <mergeCell ref="S116:S117"/>
    <mergeCell ref="T116:T117"/>
    <mergeCell ref="U116:U117"/>
    <mergeCell ref="V116:V117"/>
    <mergeCell ref="W116:W117"/>
    <mergeCell ref="S112:S113"/>
    <mergeCell ref="T112:T113"/>
    <mergeCell ref="U112:U113"/>
    <mergeCell ref="V112:V113"/>
    <mergeCell ref="W112:W113"/>
    <mergeCell ref="S114:S115"/>
    <mergeCell ref="T114:T115"/>
    <mergeCell ref="U114:U115"/>
    <mergeCell ref="V114:V115"/>
    <mergeCell ref="W114:W115"/>
    <mergeCell ref="V108:V109"/>
    <mergeCell ref="W108:W109"/>
    <mergeCell ref="S110:S111"/>
    <mergeCell ref="T110:T111"/>
    <mergeCell ref="U100:U101"/>
    <mergeCell ref="V100:V101"/>
    <mergeCell ref="S106:S107"/>
    <mergeCell ref="T106:T107"/>
    <mergeCell ref="U106:U107"/>
    <mergeCell ref="V106:V107"/>
    <mergeCell ref="U110:U111"/>
    <mergeCell ref="V110:V111"/>
    <mergeCell ref="W100:W101"/>
    <mergeCell ref="S102:S103"/>
    <mergeCell ref="T102:T103"/>
    <mergeCell ref="U102:U103"/>
    <mergeCell ref="V102:V103"/>
    <mergeCell ref="W102:W103"/>
    <mergeCell ref="S104:S105"/>
    <mergeCell ref="T104:T105"/>
    <mergeCell ref="U104:U105"/>
    <mergeCell ref="V104:V105"/>
    <mergeCell ref="W104:W105"/>
    <mergeCell ref="W110:W111"/>
    <mergeCell ref="B194:B195"/>
    <mergeCell ref="B196:B197"/>
    <mergeCell ref="B198:B199"/>
    <mergeCell ref="B200:B201"/>
    <mergeCell ref="B202:B203"/>
    <mergeCell ref="B186:B187"/>
    <mergeCell ref="B188:B189"/>
    <mergeCell ref="B190:B191"/>
    <mergeCell ref="B192:B193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W106:W107"/>
    <mergeCell ref="S108:S109"/>
    <mergeCell ref="T108:T109"/>
    <mergeCell ref="U108:U109"/>
    <mergeCell ref="B204:B205"/>
    <mergeCell ref="B206:B207"/>
    <mergeCell ref="S100:S101"/>
    <mergeCell ref="T100:T101"/>
    <mergeCell ref="S118:S119"/>
    <mergeCell ref="T118:T119"/>
    <mergeCell ref="S130:S131"/>
    <mergeCell ref="T130:T131"/>
    <mergeCell ref="S136:S137"/>
    <mergeCell ref="T136:T137"/>
    <mergeCell ref="S142:S143"/>
    <mergeCell ref="T142:T143"/>
    <mergeCell ref="S148:S149"/>
    <mergeCell ref="T148:T149"/>
    <mergeCell ref="S154:S155"/>
    <mergeCell ref="T154:T155"/>
    <mergeCell ref="S160:S161"/>
    <mergeCell ref="T160:T161"/>
    <mergeCell ref="S166:S167"/>
    <mergeCell ref="B176:B177"/>
    <mergeCell ref="B178:B179"/>
    <mergeCell ref="B180:B181"/>
    <mergeCell ref="B182:B183"/>
    <mergeCell ref="B184:B185"/>
    <mergeCell ref="A204:A205"/>
    <mergeCell ref="A206:A207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Q2:U2"/>
    <mergeCell ref="A100:A101"/>
    <mergeCell ref="A102:A103"/>
    <mergeCell ref="A104:A105"/>
    <mergeCell ref="A106:A107"/>
    <mergeCell ref="A108:A109"/>
    <mergeCell ref="A110:A111"/>
    <mergeCell ref="A112:A113"/>
    <mergeCell ref="V82:V83"/>
    <mergeCell ref="V84:V85"/>
    <mergeCell ref="B88:B89"/>
    <mergeCell ref="S88:S89"/>
    <mergeCell ref="T88:T89"/>
    <mergeCell ref="U88:U89"/>
    <mergeCell ref="U82:U83"/>
    <mergeCell ref="T84:T85"/>
    <mergeCell ref="U84:U85"/>
    <mergeCell ref="T82:T83"/>
    <mergeCell ref="T86:T87"/>
    <mergeCell ref="U86:U87"/>
    <mergeCell ref="T98:T99"/>
    <mergeCell ref="U98:U99"/>
    <mergeCell ref="T96:T97"/>
    <mergeCell ref="U96:U97"/>
    <mergeCell ref="V92:V93"/>
    <mergeCell ref="V94:V95"/>
    <mergeCell ref="B208:R208"/>
    <mergeCell ref="S82:S83"/>
    <mergeCell ref="S84:S85"/>
    <mergeCell ref="S86:S87"/>
    <mergeCell ref="S90:S91"/>
    <mergeCell ref="S92:S93"/>
    <mergeCell ref="S94:S95"/>
    <mergeCell ref="B94:B95"/>
    <mergeCell ref="B86:B87"/>
    <mergeCell ref="B84:B85"/>
    <mergeCell ref="B82:B83"/>
    <mergeCell ref="B98:B99"/>
    <mergeCell ref="S98:S99"/>
    <mergeCell ref="B96:B97"/>
    <mergeCell ref="S96:S97"/>
    <mergeCell ref="B144:B145"/>
    <mergeCell ref="B146:B147"/>
    <mergeCell ref="B148:B149"/>
    <mergeCell ref="B150:B151"/>
    <mergeCell ref="B152:B153"/>
    <mergeCell ref="B154:B155"/>
    <mergeCell ref="B156:B157"/>
    <mergeCell ref="B62:B63"/>
    <mergeCell ref="T32:T33"/>
    <mergeCell ref="U32:U33"/>
    <mergeCell ref="S30:S31"/>
    <mergeCell ref="T34:T35"/>
    <mergeCell ref="U94:U95"/>
    <mergeCell ref="B92:B93"/>
    <mergeCell ref="T92:T93"/>
    <mergeCell ref="U92:U93"/>
    <mergeCell ref="T94:T95"/>
    <mergeCell ref="B90:B91"/>
    <mergeCell ref="T90:T91"/>
    <mergeCell ref="U90:U91"/>
    <mergeCell ref="B34:B35"/>
    <mergeCell ref="B60:B61"/>
    <mergeCell ref="S60:S61"/>
    <mergeCell ref="T60:T61"/>
    <mergeCell ref="S62:S63"/>
    <mergeCell ref="T62:T63"/>
    <mergeCell ref="U62:U63"/>
    <mergeCell ref="S56:S57"/>
    <mergeCell ref="T56:T57"/>
    <mergeCell ref="U56:U57"/>
    <mergeCell ref="U60:U61"/>
    <mergeCell ref="B4:B5"/>
    <mergeCell ref="C4:C5"/>
    <mergeCell ref="T28:T29"/>
    <mergeCell ref="U28:U29"/>
    <mergeCell ref="S22:S23"/>
    <mergeCell ref="S24:S25"/>
    <mergeCell ref="S26:S27"/>
    <mergeCell ref="S28:S29"/>
    <mergeCell ref="S20:S21"/>
    <mergeCell ref="B20:B21"/>
    <mergeCell ref="T20:T21"/>
    <mergeCell ref="S18:S19"/>
    <mergeCell ref="S6:S7"/>
    <mergeCell ref="T6:T7"/>
    <mergeCell ref="U6:U7"/>
    <mergeCell ref="A4:A7"/>
    <mergeCell ref="A66:A67"/>
    <mergeCell ref="A68:A69"/>
    <mergeCell ref="A42:A43"/>
    <mergeCell ref="A44:A45"/>
    <mergeCell ref="A46:A47"/>
    <mergeCell ref="A48:A49"/>
    <mergeCell ref="B8:B9"/>
    <mergeCell ref="B10:B11"/>
    <mergeCell ref="B12:B13"/>
    <mergeCell ref="B14:B15"/>
    <mergeCell ref="B18:B19"/>
    <mergeCell ref="B22:B23"/>
    <mergeCell ref="B24:B25"/>
    <mergeCell ref="B26:B27"/>
    <mergeCell ref="B28:B29"/>
    <mergeCell ref="B30:B31"/>
    <mergeCell ref="B32:B33"/>
    <mergeCell ref="A50:A51"/>
    <mergeCell ref="A52:A53"/>
    <mergeCell ref="A30:A31"/>
    <mergeCell ref="A32:A33"/>
    <mergeCell ref="A34:A35"/>
    <mergeCell ref="A36:A37"/>
    <mergeCell ref="A72:A73"/>
    <mergeCell ref="A74:A75"/>
    <mergeCell ref="A76:A77"/>
    <mergeCell ref="A54:A55"/>
    <mergeCell ref="A56:A57"/>
    <mergeCell ref="A58:A59"/>
    <mergeCell ref="A60:A61"/>
    <mergeCell ref="A62:A63"/>
    <mergeCell ref="A64:A65"/>
    <mergeCell ref="A70:A71"/>
    <mergeCell ref="A38:A39"/>
    <mergeCell ref="A40:A41"/>
    <mergeCell ref="S8:S9"/>
    <mergeCell ref="S10:S11"/>
    <mergeCell ref="S12:S13"/>
    <mergeCell ref="S14:S15"/>
    <mergeCell ref="S32:S33"/>
    <mergeCell ref="S34:S35"/>
    <mergeCell ref="S36:S37"/>
    <mergeCell ref="A18:A19"/>
    <mergeCell ref="A20:A21"/>
    <mergeCell ref="A22:A23"/>
    <mergeCell ref="A24:A25"/>
    <mergeCell ref="A26:A27"/>
    <mergeCell ref="A28:A29"/>
    <mergeCell ref="A8:A9"/>
    <mergeCell ref="A10:A11"/>
    <mergeCell ref="A12:A13"/>
    <mergeCell ref="A14:A15"/>
    <mergeCell ref="A16:A17"/>
    <mergeCell ref="B16:B17"/>
    <mergeCell ref="S16:S17"/>
    <mergeCell ref="B40:B41"/>
    <mergeCell ref="S40:S41"/>
    <mergeCell ref="V8:V9"/>
    <mergeCell ref="W8:W9"/>
    <mergeCell ref="D4:R4"/>
    <mergeCell ref="B6:B7"/>
    <mergeCell ref="V10:V11"/>
    <mergeCell ref="W10:W11"/>
    <mergeCell ref="V12:V13"/>
    <mergeCell ref="W12:W13"/>
    <mergeCell ref="V16:V17"/>
    <mergeCell ref="W16:W17"/>
    <mergeCell ref="V14:V15"/>
    <mergeCell ref="W14:W15"/>
    <mergeCell ref="V6:V7"/>
    <mergeCell ref="W6:W7"/>
    <mergeCell ref="T8:T9"/>
    <mergeCell ref="U8:U9"/>
    <mergeCell ref="T10:T11"/>
    <mergeCell ref="U10:U11"/>
    <mergeCell ref="T12:T13"/>
    <mergeCell ref="U12:U13"/>
    <mergeCell ref="U16:U17"/>
    <mergeCell ref="T14:T15"/>
    <mergeCell ref="U14:U15"/>
    <mergeCell ref="T16:T17"/>
    <mergeCell ref="V20:V21"/>
    <mergeCell ref="W20:W21"/>
    <mergeCell ref="V18:V19"/>
    <mergeCell ref="W18:W19"/>
    <mergeCell ref="V22:V23"/>
    <mergeCell ref="W22:W23"/>
    <mergeCell ref="T30:T31"/>
    <mergeCell ref="U30:U31"/>
    <mergeCell ref="V24:V25"/>
    <mergeCell ref="W24:W25"/>
    <mergeCell ref="V30:V31"/>
    <mergeCell ref="W30:W31"/>
    <mergeCell ref="U20:U21"/>
    <mergeCell ref="T18:T19"/>
    <mergeCell ref="U18:U19"/>
    <mergeCell ref="T22:T23"/>
    <mergeCell ref="U22:U23"/>
    <mergeCell ref="T24:T25"/>
    <mergeCell ref="U24:U25"/>
    <mergeCell ref="T26:T27"/>
    <mergeCell ref="U26:U27"/>
    <mergeCell ref="V32:V33"/>
    <mergeCell ref="W32:W33"/>
    <mergeCell ref="U34:U35"/>
    <mergeCell ref="T36:T37"/>
    <mergeCell ref="U36:U37"/>
    <mergeCell ref="V34:V35"/>
    <mergeCell ref="W34:W35"/>
    <mergeCell ref="V26:V27"/>
    <mergeCell ref="W26:W27"/>
    <mergeCell ref="V28:V29"/>
    <mergeCell ref="W28:W29"/>
    <mergeCell ref="V36:V37"/>
    <mergeCell ref="W36:W37"/>
    <mergeCell ref="V38:V39"/>
    <mergeCell ref="W38:W39"/>
    <mergeCell ref="S38:S39"/>
    <mergeCell ref="T38:T39"/>
    <mergeCell ref="U38:U39"/>
    <mergeCell ref="B36:B37"/>
    <mergeCell ref="B38:B39"/>
    <mergeCell ref="V40:V41"/>
    <mergeCell ref="W40:W41"/>
    <mergeCell ref="V42:V43"/>
    <mergeCell ref="W42:W43"/>
    <mergeCell ref="S42:S43"/>
    <mergeCell ref="T42:T43"/>
    <mergeCell ref="U42:U43"/>
    <mergeCell ref="B42:B43"/>
    <mergeCell ref="V44:V45"/>
    <mergeCell ref="W44:W45"/>
    <mergeCell ref="T40:T41"/>
    <mergeCell ref="U40:U41"/>
    <mergeCell ref="V46:V47"/>
    <mergeCell ref="W46:W47"/>
    <mergeCell ref="S46:S47"/>
    <mergeCell ref="T46:T47"/>
    <mergeCell ref="U46:U47"/>
    <mergeCell ref="B46:B47"/>
    <mergeCell ref="V48:V49"/>
    <mergeCell ref="W48:W49"/>
    <mergeCell ref="B44:B45"/>
    <mergeCell ref="S44:S45"/>
    <mergeCell ref="T44:T45"/>
    <mergeCell ref="U44:U45"/>
    <mergeCell ref="V50:V51"/>
    <mergeCell ref="W50:W51"/>
    <mergeCell ref="S50:S51"/>
    <mergeCell ref="T50:T51"/>
    <mergeCell ref="U50:U51"/>
    <mergeCell ref="B50:B51"/>
    <mergeCell ref="W52:W53"/>
    <mergeCell ref="B48:B49"/>
    <mergeCell ref="S48:S49"/>
    <mergeCell ref="T48:T49"/>
    <mergeCell ref="U48:U49"/>
    <mergeCell ref="V52:V53"/>
    <mergeCell ref="B52:B53"/>
    <mergeCell ref="S52:S53"/>
    <mergeCell ref="T52:T53"/>
    <mergeCell ref="U52:U53"/>
    <mergeCell ref="W56:W57"/>
    <mergeCell ref="W60:W61"/>
    <mergeCell ref="V58:V59"/>
    <mergeCell ref="W58:W59"/>
    <mergeCell ref="V60:V61"/>
    <mergeCell ref="V62:V63"/>
    <mergeCell ref="W62:W63"/>
    <mergeCell ref="V54:V55"/>
    <mergeCell ref="W54:W55"/>
    <mergeCell ref="V56:V57"/>
    <mergeCell ref="S58:S59"/>
    <mergeCell ref="T58:T59"/>
    <mergeCell ref="U58:U59"/>
    <mergeCell ref="B56:B57"/>
    <mergeCell ref="S54:S55"/>
    <mergeCell ref="T54:T55"/>
    <mergeCell ref="U54:U55"/>
    <mergeCell ref="B54:B55"/>
    <mergeCell ref="B58:B59"/>
    <mergeCell ref="B64:B65"/>
    <mergeCell ref="S64:S65"/>
    <mergeCell ref="T64:T65"/>
    <mergeCell ref="U64:U65"/>
    <mergeCell ref="U76:U77"/>
    <mergeCell ref="U66:U67"/>
    <mergeCell ref="U68:U69"/>
    <mergeCell ref="U70:U71"/>
    <mergeCell ref="U72:U73"/>
    <mergeCell ref="U74:U75"/>
    <mergeCell ref="T76:T77"/>
    <mergeCell ref="T66:T67"/>
    <mergeCell ref="T68:T69"/>
    <mergeCell ref="T70:T71"/>
    <mergeCell ref="T72:T73"/>
    <mergeCell ref="T74:T75"/>
    <mergeCell ref="S76:S77"/>
    <mergeCell ref="S66:S67"/>
    <mergeCell ref="S68:S69"/>
    <mergeCell ref="S70:S71"/>
    <mergeCell ref="S72:S73"/>
    <mergeCell ref="B76:B77"/>
    <mergeCell ref="V68:V69"/>
    <mergeCell ref="W68:W69"/>
    <mergeCell ref="S78:S79"/>
    <mergeCell ref="S74:S75"/>
    <mergeCell ref="B74:B75"/>
    <mergeCell ref="B66:B67"/>
    <mergeCell ref="B68:B69"/>
    <mergeCell ref="B70:B71"/>
    <mergeCell ref="B72:B73"/>
    <mergeCell ref="V64:V65"/>
    <mergeCell ref="W64:W65"/>
    <mergeCell ref="V66:V67"/>
    <mergeCell ref="W66:W67"/>
    <mergeCell ref="A84:A85"/>
    <mergeCell ref="A86:A87"/>
    <mergeCell ref="A88:A89"/>
    <mergeCell ref="A90:A91"/>
    <mergeCell ref="A92:A93"/>
    <mergeCell ref="A78:A79"/>
    <mergeCell ref="A80:A81"/>
    <mergeCell ref="A82:A83"/>
    <mergeCell ref="V80:V81"/>
    <mergeCell ref="S80:S81"/>
    <mergeCell ref="B78:B79"/>
    <mergeCell ref="B80:B81"/>
    <mergeCell ref="V70:V71"/>
    <mergeCell ref="W70:W71"/>
    <mergeCell ref="V72:V73"/>
    <mergeCell ref="W72:W73"/>
    <mergeCell ref="W76:W77"/>
    <mergeCell ref="V74:V75"/>
    <mergeCell ref="W74:W75"/>
    <mergeCell ref="V76:V77"/>
    <mergeCell ref="A94:A95"/>
    <mergeCell ref="A96:A97"/>
    <mergeCell ref="A98:A99"/>
    <mergeCell ref="W78:W79"/>
    <mergeCell ref="W80:W81"/>
    <mergeCell ref="W82:W83"/>
    <mergeCell ref="W84:W85"/>
    <mergeCell ref="W86:W87"/>
    <mergeCell ref="W88:W89"/>
    <mergeCell ref="W90:W91"/>
    <mergeCell ref="W92:W93"/>
    <mergeCell ref="W94:W95"/>
    <mergeCell ref="W96:W97"/>
    <mergeCell ref="W98:W99"/>
    <mergeCell ref="T78:T79"/>
    <mergeCell ref="U78:U79"/>
    <mergeCell ref="V78:V79"/>
    <mergeCell ref="T80:T81"/>
    <mergeCell ref="U80:U81"/>
    <mergeCell ref="V96:V97"/>
    <mergeCell ref="V98:V99"/>
    <mergeCell ref="V86:V87"/>
    <mergeCell ref="V88:V89"/>
    <mergeCell ref="V90:V91"/>
  </mergeCells>
  <phoneticPr fontId="2" type="noConversion"/>
  <pageMargins left="0.75" right="0.75" top="1" bottom="1" header="0.51" footer="0.51"/>
  <pageSetup paperSize="9" orientation="portrait" horizontalDpi="200" verticalDpi="2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</cp:lastModifiedBy>
  <dcterms:created xsi:type="dcterms:W3CDTF">2018-01-21T09:51:52Z</dcterms:created>
  <dcterms:modified xsi:type="dcterms:W3CDTF">2021-01-01T09:48:53Z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